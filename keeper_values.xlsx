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/>
  <mc:AlternateContent xmlns:mc="http://schemas.openxmlformats.org/markup-compatibility/2006">
    <mc:Choice Requires="x15">
      <x15ac:absPath xmlns:x15ac="http://schemas.microsoft.com/office/spreadsheetml/2010/11/ac" url="/Users/robertcolonna/Downloads/"/>
    </mc:Choice>
  </mc:AlternateContent>
  <xr:revisionPtr revIDLastSave="0" documentId="13_ncr:1_{5FC8E991-9224-CC4A-AAD2-72088882DE9A}" xr6:coauthVersionLast="47" xr6:coauthVersionMax="47" xr10:uidLastSave="{00000000-0000-0000-0000-000000000000}"/>
  <bookViews>
    <workbookView xWindow="0" yWindow="500" windowWidth="28800" windowHeight="16400" xr2:uid="{00000000-000D-0000-FFFF-FFFF00000000}"/>
  </bookViews>
  <sheets>
    <sheet name="Fantasy Baseball" sheetId="1" r:id="rId1"/>
  </sheets>
  <definedNames>
    <definedName name="_xlnm._FilterDatabase" localSheetId="0" hidden="1">'Fantasy Baseball'!$A$1:$L$384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2" i="1" l="1"/>
  <c r="C242" i="1"/>
  <c r="L242" i="1" s="1"/>
  <c r="K241" i="1"/>
  <c r="C241" i="1"/>
  <c r="L241" i="1" s="1"/>
  <c r="K240" i="1"/>
  <c r="C240" i="1"/>
  <c r="L240" i="1" s="1"/>
  <c r="K239" i="1"/>
  <c r="C239" i="1"/>
  <c r="L239" i="1" s="1"/>
  <c r="K360" i="1"/>
  <c r="L360" i="1" s="1"/>
  <c r="K238" i="1"/>
  <c r="C238" i="1"/>
  <c r="L238" i="1" s="1"/>
  <c r="K237" i="1"/>
  <c r="C237" i="1"/>
  <c r="L237" i="1" s="1"/>
  <c r="K236" i="1"/>
  <c r="C236" i="1"/>
  <c r="L236" i="1" s="1"/>
  <c r="K235" i="1"/>
  <c r="C235" i="1"/>
  <c r="L235" i="1" s="1"/>
  <c r="K234" i="1"/>
  <c r="C234" i="1"/>
  <c r="L234" i="1" s="1"/>
  <c r="K233" i="1"/>
  <c r="C233" i="1"/>
  <c r="L233" i="1" s="1"/>
  <c r="K232" i="1"/>
  <c r="C232" i="1"/>
  <c r="L232" i="1" s="1"/>
  <c r="K231" i="1"/>
  <c r="C231" i="1"/>
  <c r="L231" i="1" s="1"/>
  <c r="K303" i="1"/>
  <c r="L303" i="1" s="1"/>
  <c r="K230" i="1"/>
  <c r="C230" i="1"/>
  <c r="L230" i="1" s="1"/>
  <c r="K274" i="1"/>
  <c r="L274" i="1" s="1"/>
  <c r="K229" i="1"/>
  <c r="C229" i="1"/>
  <c r="L229" i="1" s="1"/>
  <c r="K228" i="1"/>
  <c r="C228" i="1"/>
  <c r="L228" i="1" s="1"/>
  <c r="K227" i="1"/>
  <c r="C227" i="1"/>
  <c r="L227" i="1" s="1"/>
  <c r="K226" i="1"/>
  <c r="C226" i="1" s="1"/>
  <c r="L226" i="1" s="1"/>
  <c r="K225" i="1"/>
  <c r="C225" i="1" s="1"/>
  <c r="L225" i="1" s="1"/>
  <c r="K224" i="1"/>
  <c r="C224" i="1" s="1"/>
  <c r="L224" i="1" s="1"/>
  <c r="K223" i="1"/>
  <c r="C223" i="1" s="1"/>
  <c r="L223" i="1" s="1"/>
  <c r="K222" i="1"/>
  <c r="C222" i="1" s="1"/>
  <c r="L222" i="1" s="1"/>
  <c r="K221" i="1"/>
  <c r="C221" i="1" s="1"/>
  <c r="L221" i="1" s="1"/>
  <c r="K220" i="1"/>
  <c r="C220" i="1" s="1"/>
  <c r="L220" i="1" s="1"/>
  <c r="K219" i="1"/>
  <c r="C219" i="1" s="1"/>
  <c r="L219" i="1" s="1"/>
  <c r="K218" i="1"/>
  <c r="C218" i="1" s="1"/>
  <c r="L218" i="1" s="1"/>
  <c r="K217" i="1"/>
  <c r="C217" i="1" s="1"/>
  <c r="L217" i="1" s="1"/>
  <c r="K216" i="1"/>
  <c r="C216" i="1" s="1"/>
  <c r="L216" i="1" s="1"/>
  <c r="K215" i="1"/>
  <c r="C215" i="1" s="1"/>
  <c r="L215" i="1" s="1"/>
  <c r="K214" i="1"/>
  <c r="C214" i="1" s="1"/>
  <c r="L214" i="1" s="1"/>
  <c r="K213" i="1"/>
  <c r="C213" i="1" s="1"/>
  <c r="L213" i="1" s="1"/>
  <c r="K212" i="1"/>
  <c r="C212" i="1" s="1"/>
  <c r="L212" i="1" s="1"/>
  <c r="K211" i="1"/>
  <c r="C211" i="1" s="1"/>
  <c r="L211" i="1" s="1"/>
  <c r="K210" i="1"/>
  <c r="C210" i="1" s="1"/>
  <c r="L210" i="1" s="1"/>
  <c r="K209" i="1"/>
  <c r="C209" i="1" s="1"/>
  <c r="L209" i="1" s="1"/>
  <c r="K208" i="1"/>
  <c r="C208" i="1" s="1"/>
  <c r="L208" i="1" s="1"/>
  <c r="K207" i="1"/>
  <c r="C207" i="1" s="1"/>
  <c r="L207" i="1" s="1"/>
  <c r="L206" i="1"/>
  <c r="K206" i="1"/>
  <c r="C206" i="1"/>
  <c r="K205" i="1"/>
  <c r="C205" i="1"/>
  <c r="L205" i="1" s="1"/>
  <c r="K204" i="1"/>
  <c r="C204" i="1"/>
  <c r="L204" i="1" s="1"/>
  <c r="K203" i="1"/>
  <c r="C203" i="1"/>
  <c r="L203" i="1" s="1"/>
  <c r="K273" i="1"/>
  <c r="L273" i="1" s="1"/>
  <c r="K98" i="1"/>
  <c r="C98" i="1"/>
  <c r="L98" i="1" s="1"/>
  <c r="K202" i="1"/>
  <c r="C202" i="1"/>
  <c r="L202" i="1" s="1"/>
  <c r="K201" i="1"/>
  <c r="C201" i="1"/>
  <c r="L201" i="1" s="1"/>
  <c r="K200" i="1"/>
  <c r="C200" i="1"/>
  <c r="L200" i="1" s="1"/>
  <c r="K199" i="1"/>
  <c r="C199" i="1"/>
  <c r="L199" i="1" s="1"/>
  <c r="K198" i="1"/>
  <c r="C198" i="1"/>
  <c r="L198" i="1" s="1"/>
  <c r="K197" i="1"/>
  <c r="C197" i="1"/>
  <c r="L197" i="1" s="1"/>
  <c r="K196" i="1"/>
  <c r="C196" i="1"/>
  <c r="L196" i="1" s="1"/>
  <c r="K195" i="1"/>
  <c r="C195" i="1"/>
  <c r="L195" i="1" s="1"/>
  <c r="K194" i="1"/>
  <c r="C194" i="1"/>
  <c r="L194" i="1" s="1"/>
  <c r="K97" i="1"/>
  <c r="C97" i="1" s="1"/>
  <c r="L97" i="1" s="1"/>
  <c r="K359" i="1"/>
  <c r="L359" i="1" s="1"/>
  <c r="K193" i="1"/>
  <c r="C193" i="1" s="1"/>
  <c r="L193" i="1" s="1"/>
  <c r="K96" i="1"/>
  <c r="C96" i="1" s="1"/>
  <c r="L96" i="1" s="1"/>
  <c r="K95" i="1"/>
  <c r="C95" i="1" s="1"/>
  <c r="L95" i="1" s="1"/>
  <c r="K292" i="1"/>
  <c r="L292" i="1" s="1"/>
  <c r="K192" i="1"/>
  <c r="C192" i="1" s="1"/>
  <c r="L192" i="1" s="1"/>
  <c r="K94" i="1"/>
  <c r="C94" i="1" s="1"/>
  <c r="L94" i="1" s="1"/>
  <c r="K191" i="1"/>
  <c r="L191" i="1" s="1"/>
  <c r="K190" i="1"/>
  <c r="C190" i="1" s="1"/>
  <c r="L190" i="1" s="1"/>
  <c r="K93" i="1"/>
  <c r="C93" i="1" s="1"/>
  <c r="L93" i="1" s="1"/>
  <c r="K189" i="1"/>
  <c r="C189" i="1" s="1"/>
  <c r="L189" i="1" s="1"/>
  <c r="K92" i="1"/>
  <c r="C92" i="1" s="1"/>
  <c r="L92" i="1" s="1"/>
  <c r="K188" i="1"/>
  <c r="C188" i="1" s="1"/>
  <c r="L188" i="1" s="1"/>
  <c r="K91" i="1"/>
  <c r="C91" i="1" s="1"/>
  <c r="L91" i="1" s="1"/>
  <c r="K291" i="1"/>
  <c r="L291" i="1" s="1"/>
  <c r="K187" i="1"/>
  <c r="C187" i="1" s="1"/>
  <c r="L187" i="1" s="1"/>
  <c r="K186" i="1"/>
  <c r="C186" i="1" s="1"/>
  <c r="L186" i="1" s="1"/>
  <c r="K90" i="1"/>
  <c r="C90" i="1" s="1"/>
  <c r="L90" i="1" s="1"/>
  <c r="K185" i="1"/>
  <c r="C185" i="1" s="1"/>
  <c r="L185" i="1" s="1"/>
  <c r="K89" i="1"/>
  <c r="C89" i="1" s="1"/>
  <c r="L89" i="1" s="1"/>
  <c r="K367" i="1"/>
  <c r="L367" i="1" s="1"/>
  <c r="K184" i="1"/>
  <c r="C184" i="1" s="1"/>
  <c r="L184" i="1" s="1"/>
  <c r="K88" i="1"/>
  <c r="C88" i="1" s="1"/>
  <c r="L88" i="1" s="1"/>
  <c r="K183" i="1"/>
  <c r="C183" i="1" s="1"/>
  <c r="L183" i="1" s="1"/>
  <c r="K61" i="1"/>
  <c r="L61" i="1" s="1"/>
  <c r="L182" i="1"/>
  <c r="K182" i="1"/>
  <c r="C182" i="1"/>
  <c r="K181" i="1"/>
  <c r="C181" i="1"/>
  <c r="L181" i="1" s="1"/>
  <c r="K352" i="1"/>
  <c r="L352" i="1" s="1"/>
  <c r="K311" i="1"/>
  <c r="L311" i="1" s="1"/>
  <c r="K180" i="1"/>
  <c r="C180" i="1"/>
  <c r="L180" i="1" s="1"/>
  <c r="K179" i="1"/>
  <c r="C179" i="1" s="1"/>
  <c r="L179" i="1" s="1"/>
  <c r="K272" i="1"/>
  <c r="L272" i="1" s="1"/>
  <c r="K178" i="1"/>
  <c r="C178" i="1" s="1"/>
  <c r="L178" i="1" s="1"/>
  <c r="K177" i="1"/>
  <c r="C177" i="1" s="1"/>
  <c r="L177" i="1" s="1"/>
  <c r="K335" i="1"/>
  <c r="L335" i="1" s="1"/>
  <c r="K176" i="1"/>
  <c r="C176" i="1" s="1"/>
  <c r="L176" i="1" s="1"/>
  <c r="K175" i="1"/>
  <c r="C175" i="1" s="1"/>
  <c r="L175" i="1" s="1"/>
  <c r="K174" i="1"/>
  <c r="C174" i="1" s="1"/>
  <c r="L174" i="1" s="1"/>
  <c r="K173" i="1"/>
  <c r="C173" i="1" s="1"/>
  <c r="L173" i="1" s="1"/>
  <c r="K87" i="1"/>
  <c r="C87" i="1" s="1"/>
  <c r="L87" i="1" s="1"/>
  <c r="K86" i="1"/>
  <c r="C86" i="1" s="1"/>
  <c r="L86" i="1" s="1"/>
  <c r="K113" i="1"/>
  <c r="L113" i="1" s="1"/>
  <c r="K112" i="1"/>
  <c r="C112" i="1" s="1"/>
  <c r="L112" i="1" s="1"/>
  <c r="K85" i="1"/>
  <c r="C85" i="1" s="1"/>
  <c r="L85" i="1" s="1"/>
  <c r="K84" i="1"/>
  <c r="C84" i="1" s="1"/>
  <c r="L84" i="1" s="1"/>
  <c r="K55" i="1"/>
  <c r="C55" i="1" s="1"/>
  <c r="L55" i="1" s="1"/>
  <c r="K255" i="1"/>
  <c r="L255" i="1" s="1"/>
  <c r="K172" i="1"/>
  <c r="C172" i="1" s="1"/>
  <c r="L172" i="1" s="1"/>
  <c r="K83" i="1"/>
  <c r="L83" i="1" s="1"/>
  <c r="K171" i="1"/>
  <c r="C171" i="1" s="1"/>
  <c r="L171" i="1" s="1"/>
  <c r="K170" i="1"/>
  <c r="C170" i="1" s="1"/>
  <c r="L170" i="1" s="1"/>
  <c r="K82" i="1"/>
  <c r="C82" i="1" s="1"/>
  <c r="L82" i="1" s="1"/>
  <c r="K81" i="1"/>
  <c r="C81" i="1" s="1"/>
  <c r="L81" i="1" s="1"/>
  <c r="K169" i="1"/>
  <c r="C169" i="1" s="1"/>
  <c r="L169" i="1" s="1"/>
  <c r="K80" i="1"/>
  <c r="C80" i="1" s="1"/>
  <c r="L80" i="1" s="1"/>
  <c r="K168" i="1"/>
  <c r="C168" i="1" s="1"/>
  <c r="L168" i="1" s="1"/>
  <c r="K167" i="1"/>
  <c r="C167" i="1" s="1"/>
  <c r="L167" i="1" s="1"/>
  <c r="K79" i="1"/>
  <c r="C79" i="1" s="1"/>
  <c r="L79" i="1" s="1"/>
  <c r="K166" i="1"/>
  <c r="C166" i="1" s="1"/>
  <c r="L166" i="1" s="1"/>
  <c r="K111" i="1"/>
  <c r="C111" i="1" s="1"/>
  <c r="L111" i="1" s="1"/>
  <c r="K78" i="1"/>
  <c r="C78" i="1" s="1"/>
  <c r="L78" i="1" s="1"/>
  <c r="K40" i="1"/>
  <c r="L40" i="1" s="1"/>
  <c r="K60" i="1"/>
  <c r="C60" i="1" s="1"/>
  <c r="L60" i="1" s="1"/>
  <c r="K165" i="1"/>
  <c r="C165" i="1" s="1"/>
  <c r="L165" i="1" s="1"/>
  <c r="K373" i="1"/>
  <c r="L373" i="1" s="1"/>
  <c r="K164" i="1"/>
  <c r="C164" i="1" s="1"/>
  <c r="L164" i="1" s="1"/>
  <c r="K163" i="1"/>
  <c r="C163" i="1" s="1"/>
  <c r="L163" i="1" s="1"/>
  <c r="K24" i="1"/>
  <c r="L24" i="1" s="1"/>
  <c r="K77" i="1"/>
  <c r="C77" i="1"/>
  <c r="L77" i="1" s="1"/>
  <c r="K290" i="1"/>
  <c r="L290" i="1" s="1"/>
  <c r="K162" i="1"/>
  <c r="C162" i="1"/>
  <c r="L162" i="1" s="1"/>
  <c r="K161" i="1"/>
  <c r="C161" i="1"/>
  <c r="L161" i="1" s="1"/>
  <c r="K76" i="1"/>
  <c r="C76" i="1"/>
  <c r="L76" i="1" s="1"/>
  <c r="K160" i="1"/>
  <c r="C160" i="1"/>
  <c r="L160" i="1" s="1"/>
  <c r="K110" i="1"/>
  <c r="C110" i="1"/>
  <c r="L110" i="1" s="1"/>
  <c r="K59" i="1"/>
  <c r="C59" i="1"/>
  <c r="L59" i="1" s="1"/>
  <c r="K159" i="1"/>
  <c r="C159" i="1"/>
  <c r="L159" i="1" s="1"/>
  <c r="K109" i="1"/>
  <c r="C109" i="1"/>
  <c r="L109" i="1" s="1"/>
  <c r="K108" i="1"/>
  <c r="C108" i="1" s="1"/>
  <c r="L108" i="1" s="1"/>
  <c r="K158" i="1"/>
  <c r="C158" i="1" s="1"/>
  <c r="L158" i="1" s="1"/>
  <c r="K271" i="1"/>
  <c r="L271" i="1" s="1"/>
  <c r="K46" i="1"/>
  <c r="C46" i="1" s="1"/>
  <c r="L46" i="1" s="1"/>
  <c r="K75" i="1"/>
  <c r="C75" i="1"/>
  <c r="L75" i="1" s="1"/>
  <c r="K157" i="1"/>
  <c r="C157" i="1"/>
  <c r="L157" i="1" s="1"/>
  <c r="K156" i="1"/>
  <c r="C156" i="1"/>
  <c r="L156" i="1" s="1"/>
  <c r="K54" i="1"/>
  <c r="C54" i="1"/>
  <c r="L54" i="1" s="1"/>
  <c r="K74" i="1"/>
  <c r="C74" i="1"/>
  <c r="L74" i="1" s="1"/>
  <c r="K155" i="1"/>
  <c r="C155" i="1"/>
  <c r="L155" i="1" s="1"/>
  <c r="K58" i="1"/>
  <c r="C58" i="1" s="1"/>
  <c r="L58" i="1" s="1"/>
  <c r="K73" i="1"/>
  <c r="C73" i="1" s="1"/>
  <c r="L73" i="1" s="1"/>
  <c r="K39" i="1"/>
  <c r="L39" i="1" s="1"/>
  <c r="K31" i="1"/>
  <c r="L31" i="1" s="1"/>
  <c r="K154" i="1"/>
  <c r="C154" i="1" s="1"/>
  <c r="L154" i="1" s="1"/>
  <c r="K72" i="1"/>
  <c r="C72" i="1" s="1"/>
  <c r="L72" i="1" s="1"/>
  <c r="K7" i="1"/>
  <c r="L7" i="1" s="1"/>
  <c r="K153" i="1"/>
  <c r="C153" i="1" s="1"/>
  <c r="L153" i="1" s="1"/>
  <c r="K152" i="1"/>
  <c r="C152" i="1" s="1"/>
  <c r="L152" i="1" s="1"/>
  <c r="K151" i="1"/>
  <c r="C151" i="1" s="1"/>
  <c r="L151" i="1" s="1"/>
  <c r="K150" i="1"/>
  <c r="C150" i="1" s="1"/>
  <c r="L150" i="1" s="1"/>
  <c r="K23" i="1"/>
  <c r="L23" i="1" s="1"/>
  <c r="K149" i="1"/>
  <c r="C149" i="1" s="1"/>
  <c r="L149" i="1" s="1"/>
  <c r="K53" i="1"/>
  <c r="L53" i="1" s="1"/>
  <c r="K254" i="1"/>
  <c r="L254" i="1" s="1"/>
  <c r="K289" i="1"/>
  <c r="L289" i="1" s="1"/>
  <c r="K302" i="1"/>
  <c r="L302" i="1" s="1"/>
  <c r="K321" i="1"/>
  <c r="L321" i="1" s="1"/>
  <c r="K334" i="1"/>
  <c r="L334" i="1" s="1"/>
  <c r="K351" i="1"/>
  <c r="L351" i="1" s="1"/>
  <c r="K71" i="1"/>
  <c r="C71" i="1" s="1"/>
  <c r="L71" i="1" s="1"/>
  <c r="K350" i="1"/>
  <c r="L350" i="1" s="1"/>
  <c r="K70" i="1"/>
  <c r="L70" i="1" s="1"/>
  <c r="K376" i="1"/>
  <c r="L376" i="1" s="1"/>
  <c r="K288" i="1"/>
  <c r="L288" i="1" s="1"/>
  <c r="K381" i="1"/>
  <c r="L381" i="1" s="1"/>
  <c r="K287" i="1"/>
  <c r="L287" i="1" s="1"/>
  <c r="K375" i="1"/>
  <c r="L375" i="1" s="1"/>
  <c r="K366" i="1"/>
  <c r="L366" i="1" s="1"/>
  <c r="K320" i="1"/>
  <c r="L320" i="1" s="1"/>
  <c r="K107" i="1"/>
  <c r="C107" i="1" s="1"/>
  <c r="L107" i="1" s="1"/>
  <c r="K310" i="1"/>
  <c r="L310" i="1" s="1"/>
  <c r="K343" i="1"/>
  <c r="L343" i="1" s="1"/>
  <c r="K26" i="1"/>
  <c r="L26" i="1" s="1"/>
  <c r="K319" i="1"/>
  <c r="L319" i="1" s="1"/>
  <c r="K365" i="1"/>
  <c r="L365" i="1" s="1"/>
  <c r="K372" i="1"/>
  <c r="L372" i="1" s="1"/>
  <c r="K69" i="1"/>
  <c r="L69" i="1" s="1"/>
  <c r="K301" i="1"/>
  <c r="L301" i="1" s="1"/>
  <c r="K270" i="1"/>
  <c r="L270" i="1" s="1"/>
  <c r="K253" i="1"/>
  <c r="L253" i="1" s="1"/>
  <c r="K148" i="1"/>
  <c r="C148" i="1" s="1"/>
  <c r="L148" i="1" s="1"/>
  <c r="K286" i="1"/>
  <c r="L286" i="1" s="1"/>
  <c r="K333" i="1"/>
  <c r="L333" i="1" s="1"/>
  <c r="K332" i="1"/>
  <c r="L332" i="1" s="1"/>
  <c r="K285" i="1"/>
  <c r="L285" i="1" s="1"/>
  <c r="K147" i="1"/>
  <c r="C147" i="1" s="1"/>
  <c r="L147" i="1" s="1"/>
  <c r="K146" i="1"/>
  <c r="L146" i="1" s="1"/>
  <c r="K45" i="1"/>
  <c r="L45" i="1" s="1"/>
  <c r="K252" i="1"/>
  <c r="L252" i="1" s="1"/>
  <c r="K145" i="1"/>
  <c r="L145" i="1" s="1"/>
  <c r="K371" i="1"/>
  <c r="L371" i="1" s="1"/>
  <c r="K318" i="1"/>
  <c r="L318" i="1" s="1"/>
  <c r="K380" i="1"/>
  <c r="L380" i="1" s="1"/>
  <c r="K144" i="1"/>
  <c r="L144" i="1" s="1"/>
  <c r="K300" i="1"/>
  <c r="L300" i="1" s="1"/>
  <c r="K143" i="1"/>
  <c r="C143" i="1" s="1"/>
  <c r="L143" i="1" s="1"/>
  <c r="K370" i="1"/>
  <c r="L370" i="1" s="1"/>
  <c r="K364" i="1"/>
  <c r="L364" i="1" s="1"/>
  <c r="K269" i="1"/>
  <c r="L269" i="1" s="1"/>
  <c r="K342" i="1"/>
  <c r="L342" i="1" s="1"/>
  <c r="K142" i="1"/>
  <c r="L142" i="1" s="1"/>
  <c r="K383" i="1"/>
  <c r="L383" i="1" s="1"/>
  <c r="K341" i="1"/>
  <c r="L341" i="1" s="1"/>
  <c r="K317" i="1"/>
  <c r="L317" i="1" s="1"/>
  <c r="K268" i="1"/>
  <c r="L268" i="1" s="1"/>
  <c r="K44" i="1"/>
  <c r="L44" i="1" s="1"/>
  <c r="K379" i="1"/>
  <c r="L379" i="1" s="1"/>
  <c r="K309" i="1"/>
  <c r="L309" i="1" s="1"/>
  <c r="K43" i="1"/>
  <c r="L43" i="1" s="1"/>
  <c r="K267" i="1"/>
  <c r="L267" i="1" s="1"/>
  <c r="K349" i="1"/>
  <c r="L349" i="1" s="1"/>
  <c r="K266" i="1"/>
  <c r="L266" i="1" s="1"/>
  <c r="K284" i="1"/>
  <c r="L284" i="1" s="1"/>
  <c r="K331" i="1"/>
  <c r="L331" i="1" s="1"/>
  <c r="K348" i="1"/>
  <c r="L348" i="1" s="1"/>
  <c r="K141" i="1"/>
  <c r="C141" i="1" s="1"/>
  <c r="L141" i="1" s="1"/>
  <c r="K140" i="1"/>
  <c r="C140" i="1" s="1"/>
  <c r="L140" i="1" s="1"/>
  <c r="K363" i="1"/>
  <c r="L363" i="1" s="1"/>
  <c r="K139" i="1"/>
  <c r="L139" i="1" s="1"/>
  <c r="K308" i="1"/>
  <c r="L308" i="1" s="1"/>
  <c r="K138" i="1"/>
  <c r="L138" i="1" s="1"/>
  <c r="K137" i="1"/>
  <c r="L137" i="1" s="1"/>
  <c r="K299" i="1"/>
  <c r="L299" i="1" s="1"/>
  <c r="K283" i="1"/>
  <c r="L283" i="1" s="1"/>
  <c r="K282" i="1"/>
  <c r="L282" i="1" s="1"/>
  <c r="K265" i="1"/>
  <c r="L265" i="1" s="1"/>
  <c r="K251" i="1"/>
  <c r="L251" i="1" s="1"/>
  <c r="K378" i="1"/>
  <c r="L378" i="1" s="1"/>
  <c r="K136" i="1"/>
  <c r="L136" i="1" s="1"/>
  <c r="K340" i="1"/>
  <c r="L340" i="1" s="1"/>
  <c r="K264" i="1"/>
  <c r="L264" i="1" s="1"/>
  <c r="K135" i="1"/>
  <c r="L135" i="1" s="1"/>
  <c r="K339" i="1"/>
  <c r="L339" i="1" s="1"/>
  <c r="K281" i="1"/>
  <c r="L281" i="1" s="1"/>
  <c r="K358" i="1"/>
  <c r="L358" i="1" s="1"/>
  <c r="K250" i="1"/>
  <c r="L250" i="1" s="1"/>
  <c r="K280" i="1"/>
  <c r="L280" i="1" s="1"/>
  <c r="K9" i="1"/>
  <c r="L9" i="1" s="1"/>
  <c r="K22" i="1"/>
  <c r="L22" i="1" s="1"/>
  <c r="K134" i="1"/>
  <c r="L134" i="1" s="1"/>
  <c r="K316" i="1"/>
  <c r="L316" i="1" s="1"/>
  <c r="K330" i="1"/>
  <c r="L330" i="1" s="1"/>
  <c r="K263" i="1"/>
  <c r="L263" i="1" s="1"/>
  <c r="K315" i="1"/>
  <c r="L315" i="1" s="1"/>
  <c r="K298" i="1"/>
  <c r="L298" i="1" s="1"/>
  <c r="K133" i="1"/>
  <c r="C133" i="1" s="1"/>
  <c r="L133" i="1" s="1"/>
  <c r="K132" i="1"/>
  <c r="C132" i="1" s="1"/>
  <c r="L132" i="1" s="1"/>
  <c r="K131" i="1"/>
  <c r="C131" i="1" s="1"/>
  <c r="L131" i="1" s="1"/>
  <c r="K68" i="1"/>
  <c r="C68" i="1" s="1"/>
  <c r="L68" i="1" s="1"/>
  <c r="K130" i="1"/>
  <c r="L130" i="1" s="1"/>
  <c r="K129" i="1"/>
  <c r="C129" i="1" s="1"/>
  <c r="L129" i="1" s="1"/>
  <c r="K38" i="1"/>
  <c r="L38" i="1" s="1"/>
  <c r="K297" i="1"/>
  <c r="L297" i="1" s="1"/>
  <c r="K128" i="1"/>
  <c r="C128" i="1" s="1"/>
  <c r="L128" i="1" s="1"/>
  <c r="K357" i="1"/>
  <c r="L357" i="1" s="1"/>
  <c r="K52" i="1"/>
  <c r="L52" i="1" s="1"/>
  <c r="K67" i="1"/>
  <c r="C67" i="1" s="1"/>
  <c r="L67" i="1" s="1"/>
  <c r="K127" i="1"/>
  <c r="C127" i="1" s="1"/>
  <c r="L127" i="1" s="1"/>
  <c r="K66" i="1"/>
  <c r="C66" i="1" s="1"/>
  <c r="L66" i="1" s="1"/>
  <c r="K126" i="1"/>
  <c r="C126" i="1" s="1"/>
  <c r="L126" i="1" s="1"/>
  <c r="K249" i="1"/>
  <c r="L249" i="1" s="1"/>
  <c r="K125" i="1"/>
  <c r="C125" i="1" s="1"/>
  <c r="L125" i="1" s="1"/>
  <c r="K106" i="1"/>
  <c r="C106" i="1" s="1"/>
  <c r="L106" i="1" s="1"/>
  <c r="K51" i="1"/>
  <c r="C51" i="1" s="1"/>
  <c r="L51" i="1" s="1"/>
  <c r="K296" i="1"/>
  <c r="L296" i="1" s="1"/>
  <c r="K248" i="1"/>
  <c r="L248" i="1" s="1"/>
  <c r="K347" i="1"/>
  <c r="L347" i="1" s="1"/>
  <c r="K124" i="1"/>
  <c r="L124" i="1" s="1"/>
  <c r="K247" i="1"/>
  <c r="L247" i="1" s="1"/>
  <c r="K329" i="1"/>
  <c r="L329" i="1" s="1"/>
  <c r="K356" i="1"/>
  <c r="L356" i="1" s="1"/>
  <c r="K328" i="1"/>
  <c r="L328" i="1" s="1"/>
  <c r="K346" i="1"/>
  <c r="L346" i="1" s="1"/>
  <c r="K123" i="1"/>
  <c r="L123" i="1" s="1"/>
  <c r="K246" i="1"/>
  <c r="L246" i="1" s="1"/>
  <c r="K122" i="1"/>
  <c r="C122" i="1" s="1"/>
  <c r="L122" i="1" s="1"/>
  <c r="K279" i="1"/>
  <c r="L279" i="1" s="1"/>
  <c r="K121" i="1"/>
  <c r="C121" i="1" s="1"/>
  <c r="L121" i="1" s="1"/>
  <c r="K338" i="1"/>
  <c r="L338" i="1" s="1"/>
  <c r="K120" i="1"/>
  <c r="C120" i="1" s="1"/>
  <c r="L120" i="1" s="1"/>
  <c r="K119" i="1"/>
  <c r="C119" i="1" s="1"/>
  <c r="L119" i="1" s="1"/>
  <c r="K118" i="1"/>
  <c r="C118" i="1" s="1"/>
  <c r="L118" i="1" s="1"/>
  <c r="K245" i="1"/>
  <c r="L245" i="1" s="1"/>
  <c r="K262" i="1"/>
  <c r="L262" i="1" s="1"/>
  <c r="K278" i="1"/>
  <c r="L278" i="1" s="1"/>
  <c r="K307" i="1"/>
  <c r="L307" i="1" s="1"/>
  <c r="K19" i="1"/>
  <c r="L19" i="1" s="1"/>
  <c r="K37" i="1"/>
  <c r="L37" i="1" s="1"/>
  <c r="K261" i="1"/>
  <c r="L261" i="1" s="1"/>
  <c r="K117" i="1"/>
  <c r="C117" i="1" s="1"/>
  <c r="L117" i="1" s="1"/>
  <c r="K244" i="1"/>
  <c r="L244" i="1" s="1"/>
  <c r="K314" i="1"/>
  <c r="L314" i="1" s="1"/>
  <c r="K243" i="1"/>
  <c r="L243" i="1" s="1"/>
  <c r="K260" i="1"/>
  <c r="L260" i="1" s="1"/>
  <c r="K65" i="1"/>
  <c r="L65" i="1" s="1"/>
  <c r="K36" i="1"/>
  <c r="L36" i="1" s="1"/>
  <c r="K327" i="1"/>
  <c r="L327" i="1" s="1"/>
  <c r="K64" i="1"/>
  <c r="C64" i="1" s="1"/>
  <c r="L64" i="1" s="1"/>
  <c r="K369" i="1"/>
  <c r="L369" i="1" s="1"/>
  <c r="K105" i="1"/>
  <c r="L105" i="1" s="1"/>
  <c r="K35" i="1"/>
  <c r="L35" i="1" s="1"/>
  <c r="K374" i="1"/>
  <c r="L374" i="1" s="1"/>
  <c r="K326" i="1"/>
  <c r="L326" i="1" s="1"/>
  <c r="K104" i="1"/>
  <c r="C104" i="1" s="1"/>
  <c r="L104" i="1" s="1"/>
  <c r="K325" i="1"/>
  <c r="L325" i="1" s="1"/>
  <c r="K345" i="1"/>
  <c r="L345" i="1" s="1"/>
  <c r="K16" i="1"/>
  <c r="L16" i="1" s="1"/>
  <c r="K337" i="1"/>
  <c r="L337" i="1" s="1"/>
  <c r="K103" i="1"/>
  <c r="L103" i="1" s="1"/>
  <c r="K259" i="1"/>
  <c r="L259" i="1" s="1"/>
  <c r="K382" i="1"/>
  <c r="L382" i="1" s="1"/>
  <c r="K295" i="1"/>
  <c r="L295" i="1" s="1"/>
  <c r="K355" i="1"/>
  <c r="L355" i="1" s="1"/>
  <c r="K377" i="1"/>
  <c r="L377" i="1" s="1"/>
  <c r="K354" i="1"/>
  <c r="L354" i="1" s="1"/>
  <c r="K362" i="1"/>
  <c r="L362" i="1" s="1"/>
  <c r="K102" i="1"/>
  <c r="L102" i="1" s="1"/>
  <c r="K101" i="1"/>
  <c r="L101" i="1" s="1"/>
  <c r="K33" i="1"/>
  <c r="L33" i="1" s="1"/>
  <c r="K30" i="1"/>
  <c r="L30" i="1" s="1"/>
  <c r="K29" i="1"/>
  <c r="L29" i="1" s="1"/>
  <c r="K368" i="1"/>
  <c r="L368" i="1" s="1"/>
  <c r="K324" i="1"/>
  <c r="L324" i="1" s="1"/>
  <c r="K353" i="1"/>
  <c r="L353" i="1" s="1"/>
  <c r="K50" i="1"/>
  <c r="L50" i="1" s="1"/>
  <c r="K49" i="1"/>
  <c r="L49" i="1" s="1"/>
  <c r="K361" i="1"/>
  <c r="L361" i="1" s="1"/>
  <c r="K323" i="1"/>
  <c r="L323" i="1" s="1"/>
  <c r="K42" i="1"/>
  <c r="L42" i="1" s="1"/>
  <c r="K313" i="1"/>
  <c r="L313" i="1" s="1"/>
  <c r="K41" i="1"/>
  <c r="L41" i="1" s="1"/>
  <c r="K57" i="1"/>
  <c r="L57" i="1" s="1"/>
  <c r="K344" i="1"/>
  <c r="L344" i="1" s="1"/>
  <c r="K100" i="1"/>
  <c r="L100" i="1" s="1"/>
  <c r="K28" i="1"/>
  <c r="L28" i="1" s="1"/>
  <c r="K306" i="1"/>
  <c r="L306" i="1" s="1"/>
  <c r="K277" i="1"/>
  <c r="L277" i="1" s="1"/>
  <c r="K322" i="1"/>
  <c r="L322" i="1" s="1"/>
  <c r="K116" i="1"/>
  <c r="C116" i="1" s="1"/>
  <c r="L116" i="1" s="1"/>
  <c r="K25" i="1"/>
  <c r="L25" i="1" s="1"/>
  <c r="K48" i="1"/>
  <c r="L48" i="1" s="1"/>
  <c r="K294" i="1"/>
  <c r="L294" i="1" s="1"/>
  <c r="K63" i="1"/>
  <c r="L63" i="1" s="1"/>
  <c r="K305" i="1"/>
  <c r="L305" i="1" s="1"/>
  <c r="K312" i="1"/>
  <c r="L312" i="1" s="1"/>
  <c r="K336" i="1"/>
  <c r="L336" i="1" s="1"/>
  <c r="K18" i="1"/>
  <c r="L18" i="1" s="1"/>
  <c r="K8" i="1"/>
  <c r="L8" i="1" s="1"/>
  <c r="K62" i="1"/>
  <c r="L62" i="1" s="1"/>
  <c r="K99" i="1"/>
  <c r="L99" i="1" s="1"/>
  <c r="K32" i="1"/>
  <c r="L32" i="1" s="1"/>
  <c r="K258" i="1"/>
  <c r="L258" i="1" s="1"/>
  <c r="K304" i="1"/>
  <c r="L304" i="1" s="1"/>
  <c r="K34" i="1"/>
  <c r="L34" i="1" s="1"/>
  <c r="K115" i="1"/>
  <c r="L115" i="1" s="1"/>
  <c r="K257" i="1"/>
  <c r="L257" i="1" s="1"/>
  <c r="K384" i="1"/>
  <c r="L384" i="1" s="1"/>
  <c r="K114" i="1"/>
  <c r="L114" i="1" s="1"/>
  <c r="K276" i="1"/>
  <c r="L276" i="1" s="1"/>
  <c r="K27" i="1"/>
  <c r="L27" i="1" s="1"/>
  <c r="K47" i="1"/>
  <c r="L47" i="1" s="1"/>
  <c r="K293" i="1"/>
  <c r="L293" i="1" s="1"/>
  <c r="K15" i="1"/>
  <c r="L15" i="1" s="1"/>
  <c r="K21" i="1"/>
  <c r="L21" i="1" s="1"/>
  <c r="K14" i="1"/>
  <c r="L14" i="1" s="1"/>
  <c r="K13" i="1"/>
  <c r="L13" i="1" s="1"/>
  <c r="K20" i="1"/>
  <c r="L20" i="1" s="1"/>
  <c r="K4" i="1"/>
  <c r="L4" i="1" s="1"/>
  <c r="K275" i="1"/>
  <c r="L275" i="1" s="1"/>
  <c r="K12" i="1"/>
  <c r="L12" i="1" s="1"/>
  <c r="K11" i="1"/>
  <c r="L11" i="1" s="1"/>
  <c r="K17" i="1"/>
  <c r="L17" i="1" s="1"/>
  <c r="K6" i="1"/>
  <c r="L6" i="1" s="1"/>
  <c r="K3" i="1"/>
  <c r="L3" i="1" s="1"/>
  <c r="K56" i="1"/>
  <c r="L56" i="1" s="1"/>
  <c r="K256" i="1"/>
  <c r="L256" i="1" s="1"/>
  <c r="K5" i="1"/>
  <c r="L5" i="1" s="1"/>
  <c r="K10" i="1"/>
  <c r="L10" i="1" s="1"/>
  <c r="K2" i="1"/>
  <c r="L2" i="1" s="1"/>
</calcChain>
</file>

<file path=xl/sharedStrings.xml><?xml version="1.0" encoding="utf-8"?>
<sst xmlns="http://schemas.openxmlformats.org/spreadsheetml/2006/main" count="3524" uniqueCount="1185">
  <si>
    <t>ID</t>
  </si>
  <si>
    <t>Manager</t>
  </si>
  <si>
    <t>Keeper Round</t>
  </si>
  <si>
    <t>Player</t>
  </si>
  <si>
    <t>Team</t>
  </si>
  <si>
    <t>Position</t>
  </si>
  <si>
    <t>Status</t>
  </si>
  <si>
    <t>Drafted vs Claimed</t>
  </si>
  <si>
    <t>2026 Draft Round</t>
  </si>
  <si>
    <t>ADP</t>
  </si>
  <si>
    <t>ADP Round</t>
  </si>
  <si>
    <t>Keeper Value</t>
  </si>
  <si>
    <t>*05xu5*</t>
  </si>
  <si>
    <t>Johnny</t>
  </si>
  <si>
    <t>21</t>
  </si>
  <si>
    <t>Zach Neto</t>
  </si>
  <si>
    <t>LAA</t>
  </si>
  <si>
    <t>SS,INF</t>
  </si>
  <si>
    <t>XBLADZ</t>
  </si>
  <si>
    <t>Drafted</t>
  </si>
  <si>
    <t>23</t>
  </si>
  <si>
    <t>32.4</t>
  </si>
  <si>
    <t>*05u9z*</t>
  </si>
  <si>
    <t>Rob</t>
  </si>
  <si>
    <t>Roman Anthony</t>
  </si>
  <si>
    <t>BOS</t>
  </si>
  <si>
    <t>OF</t>
  </si>
  <si>
    <t>NYX</t>
  </si>
  <si>
    <t>108.0</t>
  </si>
  <si>
    <t>*05m1e*</t>
  </si>
  <si>
    <t>Connor</t>
  </si>
  <si>
    <t>17</t>
  </si>
  <si>
    <t>Jackson Chourio</t>
  </si>
  <si>
    <t>MIL</t>
  </si>
  <si>
    <t>AF</t>
  </si>
  <si>
    <t>19</t>
  </si>
  <si>
    <t>13.4</t>
  </si>
  <si>
    <t>*02i2k*</t>
  </si>
  <si>
    <t>4</t>
  </si>
  <si>
    <t>Byron Buxton</t>
  </si>
  <si>
    <t>MIN</t>
  </si>
  <si>
    <t>6</t>
  </si>
  <si>
    <t>62.6</t>
  </si>
  <si>
    <t>*041r1*</t>
  </si>
  <si>
    <t>Billy</t>
  </si>
  <si>
    <t>Jesus Luzardo</t>
  </si>
  <si>
    <t>PHI</t>
  </si>
  <si>
    <t>SP</t>
  </si>
  <si>
    <t>2xChamp</t>
  </si>
  <si>
    <t>8</t>
  </si>
  <si>
    <t>27.4</t>
  </si>
  <si>
    <t>*05yo5*</t>
  </si>
  <si>
    <t>20</t>
  </si>
  <si>
    <t>Ben Rice</t>
  </si>
  <si>
    <t>NYY</t>
  </si>
  <si>
    <t>C,1B,INF</t>
  </si>
  <si>
    <t>22</t>
  </si>
  <si>
    <t>13.2</t>
  </si>
  <si>
    <t>*05rat*</t>
  </si>
  <si>
    <t>Blake</t>
  </si>
  <si>
    <t>16</t>
  </si>
  <si>
    <t>James Wood</t>
  </si>
  <si>
    <t>WSH</t>
  </si>
  <si>
    <t>BVB</t>
  </si>
  <si>
    <t>18</t>
  </si>
  <si>
    <t>9.6</t>
  </si>
  <si>
    <t>*05wru*</t>
  </si>
  <si>
    <t>Joe</t>
  </si>
  <si>
    <t>14</t>
  </si>
  <si>
    <t>Paul Skenes</t>
  </si>
  <si>
    <t>PIT</t>
  </si>
  <si>
    <t>BHB</t>
  </si>
  <si>
    <t>27.0</t>
  </si>
  <si>
    <t>*052c8*</t>
  </si>
  <si>
    <t>Andrew</t>
  </si>
  <si>
    <t>15</t>
  </si>
  <si>
    <t>Cristopher Sanchez</t>
  </si>
  <si>
    <t>ThePhils</t>
  </si>
  <si>
    <t>24.6</t>
  </si>
  <si>
    <t>*01gya*</t>
  </si>
  <si>
    <t>Greg</t>
  </si>
  <si>
    <t>Aroldis Chapman</t>
  </si>
  <si>
    <t>RP</t>
  </si>
  <si>
    <t>MG</t>
  </si>
  <si>
    <t>69.2</t>
  </si>
  <si>
    <t>*02my5*</t>
  </si>
  <si>
    <t>Edwin Diaz</t>
  </si>
  <si>
    <t>LAD</t>
  </si>
  <si>
    <t>206.0</t>
  </si>
  <si>
    <t>*05rb3*</t>
  </si>
  <si>
    <t>Chase Burns</t>
  </si>
  <si>
    <t>CIN</t>
  </si>
  <si>
    <t>SP,RP</t>
  </si>
  <si>
    <t>44.6</t>
  </si>
  <si>
    <t>*04eor*</t>
  </si>
  <si>
    <t>Vinny</t>
  </si>
  <si>
    <t>Cade Smith</t>
  </si>
  <si>
    <t>CLE</t>
  </si>
  <si>
    <t>Ka-Chow</t>
  </si>
  <si>
    <t>60.6</t>
  </si>
  <si>
    <t>*05ua7*</t>
  </si>
  <si>
    <t>Evan</t>
  </si>
  <si>
    <t>Jackson Merrill</t>
  </si>
  <si>
    <t>SD</t>
  </si>
  <si>
    <t>iKnoBall</t>
  </si>
  <si>
    <t>41.0</t>
  </si>
  <si>
    <t>*06als*</t>
  </si>
  <si>
    <t>Shohei Ohtani-P</t>
  </si>
  <si>
    <t>49.0</t>
  </si>
  <si>
    <t>*02hjp*</t>
  </si>
  <si>
    <t>Jacob deGrom</t>
  </si>
  <si>
    <t>TEX</t>
  </si>
  <si>
    <t>42.2</t>
  </si>
  <si>
    <t>*04qk8*</t>
  </si>
  <si>
    <t>Kody</t>
  </si>
  <si>
    <t>CJ Abrams</t>
  </si>
  <si>
    <t>THG</t>
  </si>
  <si>
    <t>30.0</t>
  </si>
  <si>
    <t>*05144*</t>
  </si>
  <si>
    <t>11</t>
  </si>
  <si>
    <t>Hunter Brown</t>
  </si>
  <si>
    <t>HOU</t>
  </si>
  <si>
    <t>13</t>
  </si>
  <si>
    <t>176.0</t>
  </si>
  <si>
    <t>*05ucd*</t>
  </si>
  <si>
    <t>12</t>
  </si>
  <si>
    <t>Mason Miller</t>
  </si>
  <si>
    <t>88.0</t>
  </si>
  <si>
    <t>*062k5*</t>
  </si>
  <si>
    <t>John</t>
  </si>
  <si>
    <t>10</t>
  </si>
  <si>
    <t>Nick Kurtz</t>
  </si>
  <si>
    <t>ATH</t>
  </si>
  <si>
    <t>1B,INF</t>
  </si>
  <si>
    <t>jd</t>
  </si>
  <si>
    <t>19.0</t>
  </si>
  <si>
    <t>*0316j*</t>
  </si>
  <si>
    <t>Nick Pivetta</t>
  </si>
  <si>
    <t>204.6</t>
  </si>
  <si>
    <t>*05ajh*</t>
  </si>
  <si>
    <t>Garrett Crochet</t>
  </si>
  <si>
    <t>94.6</t>
  </si>
  <si>
    <t>*041ps*</t>
  </si>
  <si>
    <t>Nick Lodolo</t>
  </si>
  <si>
    <t>302.4</t>
  </si>
  <si>
    <t>*04e2u*</t>
  </si>
  <si>
    <t>Brent Rooker</t>
  </si>
  <si>
    <t>OF,UT</t>
  </si>
  <si>
    <t>134.0</t>
  </si>
  <si>
    <t>*0311c*</t>
  </si>
  <si>
    <t>Devin Williams</t>
  </si>
  <si>
    <t>NYM</t>
  </si>
  <si>
    <t>148.4</t>
  </si>
  <si>
    <t>*03et8*</t>
  </si>
  <si>
    <t>Ranger Suarez</t>
  </si>
  <si>
    <t>(N/A)</t>
  </si>
  <si>
    <t>154.0</t>
  </si>
  <si>
    <t>*04o4s*</t>
  </si>
  <si>
    <t>3</t>
  </si>
  <si>
    <t>Shea Langeliers</t>
  </si>
  <si>
    <t>C</t>
  </si>
  <si>
    <t>5</t>
  </si>
  <si>
    <t>87.0</t>
  </si>
  <si>
    <t>*04ru5*</t>
  </si>
  <si>
    <t>Andy Pages</t>
  </si>
  <si>
    <t>91.6</t>
  </si>
  <si>
    <t>*051wv*</t>
  </si>
  <si>
    <t>Pete Crow-Armstrong</t>
  </si>
  <si>
    <t>CHC</t>
  </si>
  <si>
    <t>1.8</t>
  </si>
  <si>
    <t>*05g3x*</t>
  </si>
  <si>
    <t>Maikel Garcia</t>
  </si>
  <si>
    <t>KC</t>
  </si>
  <si>
    <t>2B,3B,SS,INF</t>
  </si>
  <si>
    <t>110.8</t>
  </si>
  <si>
    <t>*05t9v*</t>
  </si>
  <si>
    <t>Jonathan Aranda</t>
  </si>
  <si>
    <t>TB</t>
  </si>
  <si>
    <t>118.2</t>
  </si>
  <si>
    <t>*05u9q*</t>
  </si>
  <si>
    <t>Jac Caglianone</t>
  </si>
  <si>
    <t>1B,INF,OF</t>
  </si>
  <si>
    <t>84.8</t>
  </si>
  <si>
    <t>*0622w*</t>
  </si>
  <si>
    <t>Chandler Simpson</t>
  </si>
  <si>
    <t>106.4</t>
  </si>
  <si>
    <t>*02bu3*</t>
  </si>
  <si>
    <t>7</t>
  </si>
  <si>
    <t>Brandon Woodruff</t>
  </si>
  <si>
    <t>9</t>
  </si>
  <si>
    <t>179.0</t>
  </si>
  <si>
    <t>*04pbq*</t>
  </si>
  <si>
    <t>2</t>
  </si>
  <si>
    <t>Geraldo Perdomo</t>
  </si>
  <si>
    <t>ARI</t>
  </si>
  <si>
    <t>87.2</t>
  </si>
  <si>
    <t>*04pmb*</t>
  </si>
  <si>
    <t>Kris Bubic</t>
  </si>
  <si>
    <t>331.2</t>
  </si>
  <si>
    <t>*05y62*</t>
  </si>
  <si>
    <t>Bryan Woo</t>
  </si>
  <si>
    <t>SEA</t>
  </si>
  <si>
    <t>67.2</t>
  </si>
  <si>
    <t>*03120*</t>
  </si>
  <si>
    <t>Cody Bellinger</t>
  </si>
  <si>
    <t>64.8</t>
  </si>
  <si>
    <t>*05u2v*</t>
  </si>
  <si>
    <t>Hunter Goodman</t>
  </si>
  <si>
    <t>COL</t>
  </si>
  <si>
    <t>65.4</t>
  </si>
  <si>
    <t>*01spo*</t>
  </si>
  <si>
    <t>Gerrit Cole</t>
  </si>
  <si>
    <t>121.2</t>
  </si>
  <si>
    <t>*02n4s*</t>
  </si>
  <si>
    <t>Matthew Boyd</t>
  </si>
  <si>
    <t>Claimed</t>
  </si>
  <si>
    <t>330.4</t>
  </si>
  <si>
    <t>*03m6o*</t>
  </si>
  <si>
    <t>Yandy Diaz</t>
  </si>
  <si>
    <t>114.4</t>
  </si>
  <si>
    <t>*04b00*</t>
  </si>
  <si>
    <t>1</t>
  </si>
  <si>
    <t>Brice Turang</t>
  </si>
  <si>
    <t>2B,INF</t>
  </si>
  <si>
    <t>37.2</t>
  </si>
  <si>
    <t>*04cd5*</t>
  </si>
  <si>
    <t>MacKenzie Gore</t>
  </si>
  <si>
    <t>141.6</t>
  </si>
  <si>
    <t>*04mlt*</t>
  </si>
  <si>
    <t>Shane McClanahan</t>
  </si>
  <si>
    <t>142.0</t>
  </si>
  <si>
    <t>*04my4*</t>
  </si>
  <si>
    <t>Cal Raleigh</t>
  </si>
  <si>
    <t>33.0</t>
  </si>
  <si>
    <t>*05aoc*</t>
  </si>
  <si>
    <t>Eury Perez</t>
  </si>
  <si>
    <t>MIA</t>
  </si>
  <si>
    <t>135.6</t>
  </si>
  <si>
    <t>*05y7s*</t>
  </si>
  <si>
    <t>Nolan McLean</t>
  </si>
  <si>
    <t>83.4</t>
  </si>
  <si>
    <t>*06aw3*</t>
  </si>
  <si>
    <t>JJ Wetherholt</t>
  </si>
  <si>
    <t>STL</t>
  </si>
  <si>
    <t>2B,SS,INF</t>
  </si>
  <si>
    <t>168.6</t>
  </si>
  <si>
    <t>*0260v*</t>
  </si>
  <si>
    <t>Sonny Gray</t>
  </si>
  <si>
    <t>112.6</t>
  </si>
  <si>
    <t>*03qjy*</t>
  </si>
  <si>
    <t>Brandon Lowe</t>
  </si>
  <si>
    <t>71.4</t>
  </si>
  <si>
    <t>*04alp*</t>
  </si>
  <si>
    <t>Ernie Clement</t>
  </si>
  <si>
    <t>TOR</t>
  </si>
  <si>
    <t>1B,2B,3B,SS,INF</t>
  </si>
  <si>
    <t>308.8</t>
  </si>
  <si>
    <t>*04auk*</t>
  </si>
  <si>
    <t>Seranthony Dominguez</t>
  </si>
  <si>
    <t>259.8</t>
  </si>
  <si>
    <t>*04eee*</t>
  </si>
  <si>
    <t>Drew Rasmussen</t>
  </si>
  <si>
    <t>56.4</t>
  </si>
  <si>
    <t>*04hyc*</t>
  </si>
  <si>
    <t>Ivan Herrera</t>
  </si>
  <si>
    <t>153.4</t>
  </si>
  <si>
    <t>*04t9b*</t>
  </si>
  <si>
    <t>Michael Busch</t>
  </si>
  <si>
    <t>162.0</t>
  </si>
  <si>
    <t>*04z6m*</t>
  </si>
  <si>
    <t>Agustin Ramirez</t>
  </si>
  <si>
    <t>178.2</t>
  </si>
  <si>
    <t>*05rbv*</t>
  </si>
  <si>
    <t>Samuel Basallo</t>
  </si>
  <si>
    <t>BAL</t>
  </si>
  <si>
    <t>318.4</t>
  </si>
  <si>
    <t>*05u3u*</t>
  </si>
  <si>
    <t>Konnor Griffin</t>
  </si>
  <si>
    <t>105.8</t>
  </si>
  <si>
    <t>*05u9o*</t>
  </si>
  <si>
    <t>Sal Stewart</t>
  </si>
  <si>
    <t>42.4</t>
  </si>
  <si>
    <t>*05yby*</t>
  </si>
  <si>
    <t>Kevin McGonigle</t>
  </si>
  <si>
    <t>DET</t>
  </si>
  <si>
    <t>75.2</t>
  </si>
  <si>
    <t>*0630d*</t>
  </si>
  <si>
    <t>Drake Baldwin</t>
  </si>
  <si>
    <t>ATL</t>
  </si>
  <si>
    <t>61.4</t>
  </si>
  <si>
    <t>*06apx*</t>
  </si>
  <si>
    <t>Trey Yesavage</t>
  </si>
  <si>
    <t>180.2</t>
  </si>
  <si>
    <t>*01ut7*</t>
  </si>
  <si>
    <t>Nathan Eovaldi</t>
  </si>
  <si>
    <t>251.6</t>
  </si>
  <si>
    <t>*02bq2*</t>
  </si>
  <si>
    <t>Brandon Nimmo</t>
  </si>
  <si>
    <t>174.4</t>
  </si>
  <si>
    <t>*031cy*</t>
  </si>
  <si>
    <t>Emilio Pagan</t>
  </si>
  <si>
    <t>253.8</t>
  </si>
  <si>
    <t>*03pit*</t>
  </si>
  <si>
    <t>Trent Grisham</t>
  </si>
  <si>
    <t>288.2</t>
  </si>
  <si>
    <t>*0403o*</t>
  </si>
  <si>
    <t>Andres Munoz</t>
  </si>
  <si>
    <t>73.8</t>
  </si>
  <si>
    <t>*04aeb*</t>
  </si>
  <si>
    <t>Royce Lewis</t>
  </si>
  <si>
    <t>3B,INF</t>
  </si>
  <si>
    <t>292.8</t>
  </si>
  <si>
    <t>*04ak5*</t>
  </si>
  <si>
    <t>Trevor Rogers</t>
  </si>
  <si>
    <t>163.4</t>
  </si>
  <si>
    <t>*04ppj*</t>
  </si>
  <si>
    <t>Jeremy Pena</t>
  </si>
  <si>
    <t>95.6</t>
  </si>
  <si>
    <t>*04pst*</t>
  </si>
  <si>
    <t>Jarren Duran</t>
  </si>
  <si>
    <t>117.2</t>
  </si>
  <si>
    <t>*04tjl*</t>
  </si>
  <si>
    <t>Otto Lopez</t>
  </si>
  <si>
    <t>98.4</t>
  </si>
  <si>
    <t>*04y97*</t>
  </si>
  <si>
    <t>Kyle Stowers</t>
  </si>
  <si>
    <t>169.6</t>
  </si>
  <si>
    <t>*04yk2*</t>
  </si>
  <si>
    <t>Spencer Torkelson</t>
  </si>
  <si>
    <t>191.8</t>
  </si>
  <si>
    <t>*05gx4*</t>
  </si>
  <si>
    <t>Dillon Dingler</t>
  </si>
  <si>
    <t>128.4</t>
  </si>
  <si>
    <t>*05m49*</t>
  </si>
  <si>
    <t>Jung Hoo Lee</t>
  </si>
  <si>
    <t>SF</t>
  </si>
  <si>
    <t>322.6</t>
  </si>
  <si>
    <t>*05nso*</t>
  </si>
  <si>
    <t>Abner Uribe</t>
  </si>
  <si>
    <t>273.8</t>
  </si>
  <si>
    <t>*05vy5*</t>
  </si>
  <si>
    <t>Carter Jensen</t>
  </si>
  <si>
    <t>24</t>
  </si>
  <si>
    <t>186.0</t>
  </si>
  <si>
    <t>*05xch*</t>
  </si>
  <si>
    <t>Junior Caminero</t>
  </si>
  <si>
    <t>5.4</t>
  </si>
  <si>
    <t>*05y2l*</t>
  </si>
  <si>
    <t>Emmet Sheehan</t>
  </si>
  <si>
    <t>202.6</t>
  </si>
  <si>
    <t>*05ycf*</t>
  </si>
  <si>
    <t>Noah Cameron</t>
  </si>
  <si>
    <t>201.6</t>
  </si>
  <si>
    <t>*05zh9*</t>
  </si>
  <si>
    <t>Luke Keaschall</t>
  </si>
  <si>
    <t>*060x1*</t>
  </si>
  <si>
    <t>Wilyer Abreu</t>
  </si>
  <si>
    <t>96.0</t>
  </si>
  <si>
    <t>*061yu*</t>
  </si>
  <si>
    <t>Jacob Misiorowski</t>
  </si>
  <si>
    <t>15.4</t>
  </si>
  <si>
    <t>*01fh9*</t>
  </si>
  <si>
    <t>Bryce Harper</t>
  </si>
  <si>
    <t>25.0</t>
  </si>
  <si>
    <t>*01uca*</t>
  </si>
  <si>
    <t>Chris Sale</t>
  </si>
  <si>
    <t>39.4</t>
  </si>
  <si>
    <t>*04aee*</t>
  </si>
  <si>
    <t>Jo Adell</t>
  </si>
  <si>
    <t>168.4</t>
  </si>
  <si>
    <t>*04aqc*</t>
  </si>
  <si>
    <t>David Bednar</t>
  </si>
  <si>
    <t>56.8</t>
  </si>
  <si>
    <t>*04qnc*</t>
  </si>
  <si>
    <t>Francisco Alvarez</t>
  </si>
  <si>
    <t>293.8</t>
  </si>
  <si>
    <t>*04si2*</t>
  </si>
  <si>
    <t>Andrew Vaughn</t>
  </si>
  <si>
    <t>25</t>
  </si>
  <si>
    <t>339.4</t>
  </si>
  <si>
    <t>*05jp7*</t>
  </si>
  <si>
    <t>Gavin Williams</t>
  </si>
  <si>
    <t>50.2</t>
  </si>
  <si>
    <t>*05uei*</t>
  </si>
  <si>
    <t>Chase DeLauter</t>
  </si>
  <si>
    <t>89.2</t>
  </si>
  <si>
    <t>*065ji*</t>
  </si>
  <si>
    <t>Jakob Marsee</t>
  </si>
  <si>
    <t>129.8</t>
  </si>
  <si>
    <t>*01ub6*</t>
  </si>
  <si>
    <t>Jose Ramirez</t>
  </si>
  <si>
    <t>36.4</t>
  </si>
  <si>
    <t>*02btx*</t>
  </si>
  <si>
    <t>Tyler Glasnow</t>
  </si>
  <si>
    <t>74.4</t>
  </si>
  <si>
    <t>*02z0s*</t>
  </si>
  <si>
    <t>Aaron Judge</t>
  </si>
  <si>
    <t>15.8</t>
  </si>
  <si>
    <t>*0310z*</t>
  </si>
  <si>
    <t>J.P. Crawford</t>
  </si>
  <si>
    <t>348.0</t>
  </si>
  <si>
    <t>*0312g*</t>
  </si>
  <si>
    <t>Tyler Mahle</t>
  </si>
  <si>
    <t>346.6</t>
  </si>
  <si>
    <t>*031fj*</t>
  </si>
  <si>
    <t>Gabe Speier</t>
  </si>
  <si>
    <t>659.3</t>
  </si>
  <si>
    <t>*0374m*</t>
  </si>
  <si>
    <t>Tyler Rogers</t>
  </si>
  <si>
    <t>567.7</t>
  </si>
  <si>
    <t>*03dgq*</t>
  </si>
  <si>
    <t>Ryan OHearn</t>
  </si>
  <si>
    <t>292.3</t>
  </si>
  <si>
    <t>*03pir*</t>
  </si>
  <si>
    <t>Kyle Tucker</t>
  </si>
  <si>
    <t>*03qju*</t>
  </si>
  <si>
    <t>Garrett Cleavinger</t>
  </si>
  <si>
    <t>396.3</t>
  </si>
  <si>
    <t>*03wha*</t>
  </si>
  <si>
    <t>Ronald Acuna Jr.</t>
  </si>
  <si>
    <t>16.6</t>
  </si>
  <si>
    <t>*03ynj*</t>
  </si>
  <si>
    <t>Juan Soto</t>
  </si>
  <si>
    <t>7.6</t>
  </si>
  <si>
    <t>*043ia*</t>
  </si>
  <si>
    <t>Adrian Morejon</t>
  </si>
  <si>
    <t>242.0</t>
  </si>
  <si>
    <t>*04apj*</t>
  </si>
  <si>
    <t>Jhoan Duran</t>
  </si>
  <si>
    <t>129.6</t>
  </si>
  <si>
    <t>*04ehz*</t>
  </si>
  <si>
    <t>Jeremiah Estrada</t>
  </si>
  <si>
    <t>319.2</t>
  </si>
  <si>
    <t>*04eqa*</t>
  </si>
  <si>
    <t>Garrett Whitlock</t>
  </si>
  <si>
    <t>293.6</t>
  </si>
  <si>
    <t>*04fhb*</t>
  </si>
  <si>
    <t>Julio Rodriguez</t>
  </si>
  <si>
    <t>21.6</t>
  </si>
  <si>
    <t>*04lgp*</t>
  </si>
  <si>
    <t>Bobby Witt Jr.</t>
  </si>
  <si>
    <t>3.6</t>
  </si>
  <si>
    <t>*04pse*</t>
  </si>
  <si>
    <t>Brendan Donovan</t>
  </si>
  <si>
    <t>2B,INF,OF</t>
  </si>
  <si>
    <t>251.0</t>
  </si>
  <si>
    <t>*04ptt*</t>
  </si>
  <si>
    <t>Tarik Skubal</t>
  </si>
  <si>
    <t>23.4</t>
  </si>
  <si>
    <t>*04q05*</t>
  </si>
  <si>
    <t>Alex Vesia</t>
  </si>
  <si>
    <t>379.7</t>
  </si>
  <si>
    <t>*04ru7*</t>
  </si>
  <si>
    <t>Miguel Vargas</t>
  </si>
  <si>
    <t>CHW</t>
  </si>
  <si>
    <t>1B,3B,INF</t>
  </si>
  <si>
    <t>86.8</t>
  </si>
  <si>
    <t>*04ydd*</t>
  </si>
  <si>
    <t>Angel Martinez</t>
  </si>
  <si>
    <t>287.0</t>
  </si>
  <si>
    <t>*04yi8*</t>
  </si>
  <si>
    <t>Spencer Jones</t>
  </si>
  <si>
    <t>337.0</t>
  </si>
  <si>
    <t>*050w9*</t>
  </si>
  <si>
    <t>Gunnar Henderson</t>
  </si>
  <si>
    <t>*05143*</t>
  </si>
  <si>
    <t>Hunter Gaddis</t>
  </si>
  <si>
    <t>652</t>
  </si>
  <si>
    <t>*051bm*</t>
  </si>
  <si>
    <t>Louis Varland</t>
  </si>
  <si>
    <t>239.8</t>
  </si>
  <si>
    <t>*051eh*</t>
  </si>
  <si>
    <t>Kevin Kelly</t>
  </si>
  <si>
    <t>999</t>
  </si>
  <si>
    <t>*05jpd*</t>
  </si>
  <si>
    <t>Ian Seymour</t>
  </si>
  <si>
    <t>191.6</t>
  </si>
  <si>
    <t>*05jr0*</t>
  </si>
  <si>
    <t>Alec Burleson</t>
  </si>
  <si>
    <t>85.4</t>
  </si>
  <si>
    <t>*05r1m*</t>
  </si>
  <si>
    <t>Jordan Lawlar</t>
  </si>
  <si>
    <t>316.8</t>
  </si>
  <si>
    <t>*05rbs*</t>
  </si>
  <si>
    <t>Moises Ballesteros</t>
  </si>
  <si>
    <t>UT</t>
  </si>
  <si>
    <t>362.3</t>
  </si>
  <si>
    <t>*05tp6*</t>
  </si>
  <si>
    <t>Thomas White</t>
  </si>
  <si>
    <t>413.3</t>
  </si>
  <si>
    <t>*05u96*</t>
  </si>
  <si>
    <t>Bryce Eldridge</t>
  </si>
  <si>
    <t>169.0</t>
  </si>
  <si>
    <t>*05u9y*</t>
  </si>
  <si>
    <t>Max Clark</t>
  </si>
  <si>
    <t>461.5</t>
  </si>
  <si>
    <t>*05udp*</t>
  </si>
  <si>
    <t>Elly De La Cruz</t>
  </si>
  <si>
    <t>3.4</t>
  </si>
  <si>
    <t>*05xpq*</t>
  </si>
  <si>
    <t>Christian Scott</t>
  </si>
  <si>
    <t>212.6</t>
  </si>
  <si>
    <t>*05yaz*</t>
  </si>
  <si>
    <t>Will Warren</t>
  </si>
  <si>
    <t>300.2</t>
  </si>
  <si>
    <t>*060gd*</t>
  </si>
  <si>
    <t>Quinn Mathews</t>
  </si>
  <si>
    <t>514</t>
  </si>
  <si>
    <t>*060la*</t>
  </si>
  <si>
    <t>Jett Williams</t>
  </si>
  <si>
    <t>2B,SS,INF,OF</t>
  </si>
  <si>
    <t>501.5</t>
  </si>
  <si>
    <t>*061mh*</t>
  </si>
  <si>
    <t>Robby Snelling</t>
  </si>
  <si>
    <t>339.5</t>
  </si>
  <si>
    <t>*0658b*</t>
  </si>
  <si>
    <t>Jonah Tong</t>
  </si>
  <si>
    <t>378.7</t>
  </si>
  <si>
    <t>*0662o*</t>
  </si>
  <si>
    <t>Sebastian Walcott</t>
  </si>
  <si>
    <t>515.5</t>
  </si>
  <si>
    <t>*066cf*</t>
  </si>
  <si>
    <t>Zebby Matthews</t>
  </si>
  <si>
    <t>324.0</t>
  </si>
  <si>
    <t>*067yc*</t>
  </si>
  <si>
    <t>Leodalis De Vries</t>
  </si>
  <si>
    <t>703</t>
  </si>
  <si>
    <t>*06alt*</t>
  </si>
  <si>
    <t>Shohei Ohtani-H</t>
  </si>
  <si>
    <t>6.8</t>
  </si>
  <si>
    <t>*06aly*</t>
  </si>
  <si>
    <t>Carson Benge</t>
  </si>
  <si>
    <t>88.8</t>
  </si>
  <si>
    <t>*06gwk*</t>
  </si>
  <si>
    <t>Payton Tolle</t>
  </si>
  <si>
    <t>117.6</t>
  </si>
  <si>
    <t>*02611*</t>
  </si>
  <si>
    <t>Francisco Lindor</t>
  </si>
  <si>
    <t>44.8</t>
  </si>
  <si>
    <t>*03cag*</t>
  </si>
  <si>
    <t>Kyle Schwarber</t>
  </si>
  <si>
    <t>18.2</t>
  </si>
  <si>
    <t>*03dbm*</t>
  </si>
  <si>
    <t>Logan Webb</t>
  </si>
  <si>
    <t>135.2</t>
  </si>
  <si>
    <t>*03ojr*</t>
  </si>
  <si>
    <t>Vladimir Guerrero Jr.</t>
  </si>
  <si>
    <t>47.4</t>
  </si>
  <si>
    <t>*03pjd*</t>
  </si>
  <si>
    <t>Josh Naylor</t>
  </si>
  <si>
    <t>102.6</t>
  </si>
  <si>
    <t>*03zbh*</t>
  </si>
  <si>
    <t>Fernando Tatis Jr.</t>
  </si>
  <si>
    <t>2.0</t>
  </si>
  <si>
    <t>*04nb2*</t>
  </si>
  <si>
    <t>Riley Greene</t>
  </si>
  <si>
    <t>45.8</t>
  </si>
  <si>
    <t>*04pkr*</t>
  </si>
  <si>
    <t>Nico Hoerner</t>
  </si>
  <si>
    <t>149.4</t>
  </si>
  <si>
    <t>*04y4e*</t>
  </si>
  <si>
    <t>Corbin Carroll</t>
  </si>
  <si>
    <t>9.2</t>
  </si>
  <si>
    <t>*05184*</t>
  </si>
  <si>
    <t>Vinnie Pasquantino</t>
  </si>
  <si>
    <t>178.8</t>
  </si>
  <si>
    <t>*05gsi*</t>
  </si>
  <si>
    <t>Ceddanne Rafaela</t>
  </si>
  <si>
    <t>107.8</t>
  </si>
  <si>
    <t>*05r8n*</t>
  </si>
  <si>
    <t>Yoshinobu Yamamoto</t>
  </si>
  <si>
    <t>33.2</t>
  </si>
  <si>
    <t>*02i2j*</t>
  </si>
  <si>
    <t>Max Fried</t>
  </si>
  <si>
    <t>*0326s*</t>
  </si>
  <si>
    <t>Ketel Marte</t>
  </si>
  <si>
    <t>45.4</t>
  </si>
  <si>
    <t>*03dau*</t>
  </si>
  <si>
    <t>Trevor Megill</t>
  </si>
  <si>
    <t>116.4</t>
  </si>
  <si>
    <t>*03yrz*</t>
  </si>
  <si>
    <t>William Contreras</t>
  </si>
  <si>
    <t>*041pz*</t>
  </si>
  <si>
    <t>Pete Alonso</t>
  </si>
  <si>
    <t>11.4</t>
  </si>
  <si>
    <t>*041wv*</t>
  </si>
  <si>
    <t>Michael King</t>
  </si>
  <si>
    <t>138.0</t>
  </si>
  <si>
    <t>*04355*</t>
  </si>
  <si>
    <t>Yordan Alvarez</t>
  </si>
  <si>
    <t>6.0</t>
  </si>
  <si>
    <t>*04ps7*</t>
  </si>
  <si>
    <t>Joe Ryan</t>
  </si>
  <si>
    <t>150.4</t>
  </si>
  <si>
    <t>*05u3v*</t>
  </si>
  <si>
    <t>Walker Jenkins</t>
  </si>
  <si>
    <t>595</t>
  </si>
  <si>
    <t>*05wxy*</t>
  </si>
  <si>
    <t>Kyle Teel</t>
  </si>
  <si>
    <t>371.7</t>
  </si>
  <si>
    <t>*01u75*</t>
  </si>
  <si>
    <t>Salvador Perez</t>
  </si>
  <si>
    <t>187.2</t>
  </si>
  <si>
    <t>*02btf*</t>
  </si>
  <si>
    <t>Mookie Betts</t>
  </si>
  <si>
    <t>88.6</t>
  </si>
  <si>
    <t>*02hi7*</t>
  </si>
  <si>
    <t>Kevin Gausman</t>
  </si>
  <si>
    <t>96.2</t>
  </si>
  <si>
    <t>*02mwm*</t>
  </si>
  <si>
    <t>Matt Olson</t>
  </si>
  <si>
    <t>30.6</t>
  </si>
  <si>
    <t>*041qb*</t>
  </si>
  <si>
    <t>Bo Bichette</t>
  </si>
  <si>
    <t>136.4</t>
  </si>
  <si>
    <t>*042sz*</t>
  </si>
  <si>
    <t>Will Smith</t>
  </si>
  <si>
    <t>146.4</t>
  </si>
  <si>
    <t>*05zde*</t>
  </si>
  <si>
    <t>Travis Bazzana</t>
  </si>
  <si>
    <t>202.8</t>
  </si>
  <si>
    <t>*01cgo*</t>
  </si>
  <si>
    <t>Freddie Freeman</t>
  </si>
  <si>
    <t>72.4</t>
  </si>
  <si>
    <t>*025dn*</t>
  </si>
  <si>
    <t>Christian Yelich</t>
  </si>
  <si>
    <t>*02bqr*</t>
  </si>
  <si>
    <t>Blake Snell</t>
  </si>
  <si>
    <t>103.2</t>
  </si>
  <si>
    <t>*02w7p*</t>
  </si>
  <si>
    <t>Alex Bregman</t>
  </si>
  <si>
    <t>*03ae8*</t>
  </si>
  <si>
    <t>Dansby Swanson</t>
  </si>
  <si>
    <t>188.2</t>
  </si>
  <si>
    <t>*03ann*</t>
  </si>
  <si>
    <t>Jeff Hoffman</t>
  </si>
  <si>
    <t>149.2</t>
  </si>
  <si>
    <t>*03qo0*</t>
  </si>
  <si>
    <t>Pete Fairbanks</t>
  </si>
  <si>
    <t>316.0</t>
  </si>
  <si>
    <t>*04b02*</t>
  </si>
  <si>
    <t>Seiya Suzuki</t>
  </si>
  <si>
    <t>51.2</t>
  </si>
  <si>
    <t>*04n8z*</t>
  </si>
  <si>
    <t>Xavier Edwards</t>
  </si>
  <si>
    <t>*04p10*</t>
  </si>
  <si>
    <t>Bryson Stott</t>
  </si>
  <si>
    <t>141.0</t>
  </si>
  <si>
    <t>*04tlv*</t>
  </si>
  <si>
    <t>Bryan Abreu</t>
  </si>
  <si>
    <t>221.6</t>
  </si>
  <si>
    <t>*050c3*</t>
  </si>
  <si>
    <t>Jasson Dominguez</t>
  </si>
  <si>
    <t>431.5</t>
  </si>
  <si>
    <t>*05rb0*</t>
  </si>
  <si>
    <t>Jackson Jobe</t>
  </si>
  <si>
    <t>746.73</t>
  </si>
  <si>
    <t>*02n96*</t>
  </si>
  <si>
    <t>Josh Hader</t>
  </si>
  <si>
    <t>97.6</t>
  </si>
  <si>
    <t>*03df2*</t>
  </si>
  <si>
    <t>Dylan Cease</t>
  </si>
  <si>
    <t>26.8</t>
  </si>
  <si>
    <t>*04auj*</t>
  </si>
  <si>
    <t>Framber Valdez</t>
  </si>
  <si>
    <t>*04pr1*</t>
  </si>
  <si>
    <t>Steven Kwan</t>
  </si>
  <si>
    <t>*024m0*</t>
  </si>
  <si>
    <t>Jose Altuve</t>
  </si>
  <si>
    <t>194.6</t>
  </si>
  <si>
    <t>*03btv*</t>
  </si>
  <si>
    <t>Sandy Alcantara</t>
  </si>
  <si>
    <t>130.0</t>
  </si>
  <si>
    <t>*040b5*</t>
  </si>
  <si>
    <t>Randy Arozarena</t>
  </si>
  <si>
    <t>*04pr8*</t>
  </si>
  <si>
    <t>Taj Bradley</t>
  </si>
  <si>
    <t>113.0</t>
  </si>
  <si>
    <t>*0512v*</t>
  </si>
  <si>
    <t>Michael Harris II</t>
  </si>
  <si>
    <t>55.6</t>
  </si>
  <si>
    <t>*06f0q*</t>
  </si>
  <si>
    <t>Kristian Campbell</t>
  </si>
  <si>
    <t>529.5</t>
  </si>
  <si>
    <t>*025j1*</t>
  </si>
  <si>
    <t>Robbie Ray</t>
  </si>
  <si>
    <t>303.0</t>
  </si>
  <si>
    <t>*03aqv*</t>
  </si>
  <si>
    <t>Raisel Iglesias</t>
  </si>
  <si>
    <t>156.2</t>
  </si>
  <si>
    <t>*03nmw*</t>
  </si>
  <si>
    <t>Ian Happ</t>
  </si>
  <si>
    <t>183.2</t>
  </si>
  <si>
    <t>*03zlh*</t>
  </si>
  <si>
    <t>Oneil Cruz</t>
  </si>
  <si>
    <t>62.0</t>
  </si>
  <si>
    <t>*04naz*</t>
  </si>
  <si>
    <t>Tyler Holton</t>
  </si>
  <si>
    <t>578.5</t>
  </si>
  <si>
    <t>*05gsc*</t>
  </si>
  <si>
    <t>Jordan Westburg</t>
  </si>
  <si>
    <t>2B,3B,INF</t>
  </si>
  <si>
    <t>275.6</t>
  </si>
  <si>
    <t>*05r3i*</t>
  </si>
  <si>
    <t>Andrew Painter</t>
  </si>
  <si>
    <t>309</t>
  </si>
  <si>
    <t>*02c2r*</t>
  </si>
  <si>
    <t>Carlos Rodon</t>
  </si>
  <si>
    <t>309.2</t>
  </si>
  <si>
    <t>*04071*</t>
  </si>
  <si>
    <t>Isaac Paredes</t>
  </si>
  <si>
    <t>122.6</t>
  </si>
  <si>
    <t>*05ybv*</t>
  </si>
  <si>
    <t>Jackson Holliday</t>
  </si>
  <si>
    <t>304.8</t>
  </si>
  <si>
    <t>*02xic*</t>
  </si>
  <si>
    <t>Teoscar Hernandez</t>
  </si>
  <si>
    <t>*03fi0*</t>
  </si>
  <si>
    <t>Ozzie Albies</t>
  </si>
  <si>
    <t>*05h2u*</t>
  </si>
  <si>
    <t>Jared Jones</t>
  </si>
  <si>
    <t>121.6</t>
  </si>
  <si>
    <t>*05r01*</t>
  </si>
  <si>
    <t>Robert Suarez</t>
  </si>
  <si>
    <t>*01sb3*</t>
  </si>
  <si>
    <t>Zack Wheeler</t>
  </si>
  <si>
    <t>63.4</t>
  </si>
  <si>
    <t>*043f9*</t>
  </si>
  <si>
    <t>Pablo Lopez</t>
  </si>
  <si>
    <t>126.6</t>
  </si>
  <si>
    <t>*03e5m*</t>
  </si>
  <si>
    <t>Bryan Reynolds</t>
  </si>
  <si>
    <t>*04a2t*</t>
  </si>
  <si>
    <t>Kodai Senga</t>
  </si>
  <si>
    <t>605.7</t>
  </si>
  <si>
    <t>*05y23*</t>
  </si>
  <si>
    <t>Tanner Bibee</t>
  </si>
  <si>
    <t>226.0</t>
  </si>
  <si>
    <t>*01s8u*</t>
  </si>
  <si>
    <t>Mike Trout</t>
  </si>
  <si>
    <t>123.0</t>
  </si>
  <si>
    <t>*02mw3*</t>
  </si>
  <si>
    <t>Christian Walker</t>
  </si>
  <si>
    <t>242.8</t>
  </si>
  <si>
    <t>*03mew*</t>
  </si>
  <si>
    <t>Luis Arraez</t>
  </si>
  <si>
    <t>1B,2B,INF</t>
  </si>
  <si>
    <t>177.8</t>
  </si>
  <si>
    <t>*04pks*</t>
  </si>
  <si>
    <t>Matt McLain</t>
  </si>
  <si>
    <t>317.8</t>
  </si>
  <si>
    <t>*05ge9*</t>
  </si>
  <si>
    <t>Shota Imanaga</t>
  </si>
  <si>
    <t>*05jrh*</t>
  </si>
  <si>
    <t>Colt Keith</t>
  </si>
  <si>
    <t>1B,2B,3B,INF</t>
  </si>
  <si>
    <t>273.6</t>
  </si>
  <si>
    <t>*02c4q*</t>
  </si>
  <si>
    <t>Nick Martinez</t>
  </si>
  <si>
    <t>238.3</t>
  </si>
  <si>
    <t>*04mn5*</t>
  </si>
  <si>
    <t>Alec Bohm</t>
  </si>
  <si>
    <t>327.4</t>
  </si>
  <si>
    <t>*05gdz*</t>
  </si>
  <si>
    <t>Roki Sasaki</t>
  </si>
  <si>
    <t>602.0</t>
  </si>
  <si>
    <t>*02i3o*</t>
  </si>
  <si>
    <t>Aaron Nola</t>
  </si>
  <si>
    <t>258.2</t>
  </si>
  <si>
    <t>*03dfa*</t>
  </si>
  <si>
    <t>Tanner Scott</t>
  </si>
  <si>
    <t>236.0</t>
  </si>
  <si>
    <t>*05lg3*</t>
  </si>
  <si>
    <t>Brandon Pfaadt</t>
  </si>
  <si>
    <t>330.0</t>
  </si>
  <si>
    <t>*02mzg*</t>
  </si>
  <si>
    <t>Max Muncy</t>
  </si>
  <si>
    <t>160.0</t>
  </si>
  <si>
    <t>*0414g*</t>
  </si>
  <si>
    <t>Luis Garcia Jr.</t>
  </si>
  <si>
    <t>139.2</t>
  </si>
  <si>
    <t>*05t64*</t>
  </si>
  <si>
    <t>Felix Bautista</t>
  </si>
  <si>
    <t>672</t>
  </si>
  <si>
    <t>*05u6q*</t>
  </si>
  <si>
    <t>Cam Schlittler</t>
  </si>
  <si>
    <t>12.0</t>
  </si>
  <si>
    <t>*02myt*</t>
  </si>
  <si>
    <t>Steven Okert</t>
  </si>
  <si>
    <t>473.5</t>
  </si>
  <si>
    <t>*041vm*</t>
  </si>
  <si>
    <t>Dylan Lee</t>
  </si>
  <si>
    <t>361.7</t>
  </si>
  <si>
    <t>*0516x*</t>
  </si>
  <si>
    <t>Brent Headrick</t>
  </si>
  <si>
    <t>352.0</t>
  </si>
  <si>
    <t>*03div*</t>
  </si>
  <si>
    <t>Jake Latz</t>
  </si>
  <si>
    <t>*05tzn*</t>
  </si>
  <si>
    <t>Parker Messick</t>
  </si>
  <si>
    <t>74.2</t>
  </si>
  <si>
    <t>*041w4*</t>
  </si>
  <si>
    <t>Bryan Baker</t>
  </si>
  <si>
    <t>248.0</t>
  </si>
  <si>
    <t>*0473n*</t>
  </si>
  <si>
    <t>Tyler Wells</t>
  </si>
  <si>
    <t>359.5</t>
  </si>
  <si>
    <t>*04pmq*</t>
  </si>
  <si>
    <t>Braxton Ashcraft</t>
  </si>
  <si>
    <t>78.4</t>
  </si>
  <si>
    <t>*05gbf*</t>
  </si>
  <si>
    <t>Jordan Walker</t>
  </si>
  <si>
    <t>*064zm*</t>
  </si>
  <si>
    <t>Didier Fuentes</t>
  </si>
  <si>
    <t>257.6</t>
  </si>
  <si>
    <t>*05uo2*</t>
  </si>
  <si>
    <t>Logan Henderson</t>
  </si>
  <si>
    <t>*04rzp*</t>
  </si>
  <si>
    <t>Rico Garcia</t>
  </si>
  <si>
    <t>338.4</t>
  </si>
  <si>
    <t>*02iug*</t>
  </si>
  <si>
    <t>Michael Wacha</t>
  </si>
  <si>
    <t>223.2</t>
  </si>
  <si>
    <t>*05gef*</t>
  </si>
  <si>
    <t>Cade Cavalli</t>
  </si>
  <si>
    <t>84.6</t>
  </si>
  <si>
    <t>*05y5d*</t>
  </si>
  <si>
    <t>Bradgley Rodriguez</t>
  </si>
  <si>
    <t>296.4</t>
  </si>
  <si>
    <t>*029si*</t>
  </si>
  <si>
    <t>Eduardo Rodriguez</t>
  </si>
  <si>
    <t>300.4</t>
  </si>
  <si>
    <t>*05y2k*</t>
  </si>
  <si>
    <t>Mason Montgomery</t>
  </si>
  <si>
    <t>230.2</t>
  </si>
  <si>
    <t>*0596g*</t>
  </si>
  <si>
    <t>Reid Detmers</t>
  </si>
  <si>
    <t>83.8</t>
  </si>
  <si>
    <t>*066er*</t>
  </si>
  <si>
    <t>Grant Taylor</t>
  </si>
  <si>
    <t>215.0</t>
  </si>
  <si>
    <t>*05ydo*</t>
  </si>
  <si>
    <t>Juan Morillo</t>
  </si>
  <si>
    <t>353.2</t>
  </si>
  <si>
    <t>*05y9r*</t>
  </si>
  <si>
    <t>Justin Wrobleski</t>
  </si>
  <si>
    <t>283.8</t>
  </si>
  <si>
    <t>*03caf*</t>
  </si>
  <si>
    <t>Foster Griffin</t>
  </si>
  <si>
    <t>281.8</t>
  </si>
  <si>
    <t>*03mjl*</t>
  </si>
  <si>
    <t>Cam Booser</t>
  </si>
  <si>
    <t>*03qyv*</t>
  </si>
  <si>
    <t>Jake McCarthy</t>
  </si>
  <si>
    <t>*0510l*</t>
  </si>
  <si>
    <t>Emerson Hancock</t>
  </si>
  <si>
    <t>287.2</t>
  </si>
  <si>
    <t>*03yxh*</t>
  </si>
  <si>
    <t>Cal Quantrill</t>
  </si>
  <si>
    <t>421.7</t>
  </si>
  <si>
    <t>*05uc4*</t>
  </si>
  <si>
    <t>Troy Melton</t>
  </si>
  <si>
    <t>227.8</t>
  </si>
  <si>
    <t>*050ok*</t>
  </si>
  <si>
    <t>Yennier Cano</t>
  </si>
  <si>
    <t>*05xz4*</t>
  </si>
  <si>
    <t>Michael Petersen</t>
  </si>
  <si>
    <t>*02c68*</t>
  </si>
  <si>
    <t>Trea Turner</t>
  </si>
  <si>
    <t>46.4</t>
  </si>
  <si>
    <t>*060i2*</t>
  </si>
  <si>
    <t>Jake Bennett</t>
  </si>
  <si>
    <t>247.2</t>
  </si>
  <si>
    <t>*05t2b*</t>
  </si>
  <si>
    <t>Daylen Lile</t>
  </si>
  <si>
    <t>133.2</t>
  </si>
  <si>
    <t>*04pma*</t>
  </si>
  <si>
    <t>Daniel Lynch</t>
  </si>
  <si>
    <t>*02mwd*</t>
  </si>
  <si>
    <t>Paul Blackburn</t>
  </si>
  <si>
    <t>*025it*</t>
  </si>
  <si>
    <t>Jason Adam</t>
  </si>
  <si>
    <t>*05sr2*</t>
  </si>
  <si>
    <t>Michael McGreevy</t>
  </si>
  <si>
    <t>*0316v*</t>
  </si>
  <si>
    <t>Jake Bauers</t>
  </si>
  <si>
    <t>1B,INF,OF,RP</t>
  </si>
  <si>
    <t>101.4</t>
  </si>
  <si>
    <t>*06fzu*</t>
  </si>
  <si>
    <t>Kazuma Okamoto</t>
  </si>
  <si>
    <t>50.6</t>
  </si>
  <si>
    <t>*05a2d*</t>
  </si>
  <si>
    <t>Max Meyer</t>
  </si>
  <si>
    <t>175.0</t>
  </si>
  <si>
    <t>*05xod*</t>
  </si>
  <si>
    <t>Sean Burke</t>
  </si>
  <si>
    <t>129.0</t>
  </si>
  <si>
    <t>*01vxp*</t>
  </si>
  <si>
    <t>Brooks Raley</t>
  </si>
  <si>
    <t>591.5</t>
  </si>
  <si>
    <t>*04mnw*</t>
  </si>
  <si>
    <t>Ryan Weathers</t>
  </si>
  <si>
    <t>181.6</t>
  </si>
  <si>
    <t>*032lk*</t>
  </si>
  <si>
    <t>Sean Newcomb</t>
  </si>
  <si>
    <t>575.0</t>
  </si>
  <si>
    <t>*04pxo*</t>
  </si>
  <si>
    <t>Erik Sabrowski</t>
  </si>
  <si>
    <t>*04yig*</t>
  </si>
  <si>
    <t>Brooks Lee</t>
  </si>
  <si>
    <t>186.6</t>
  </si>
  <si>
    <t>*03dap*</t>
  </si>
  <si>
    <t>Brock Burke</t>
  </si>
  <si>
    <t>*04ppi*</t>
  </si>
  <si>
    <t>Kody Clemens</t>
  </si>
  <si>
    <t>1B,2B,INF,OF</t>
  </si>
  <si>
    <t>141.4</t>
  </si>
  <si>
    <t>*04nqx*</t>
  </si>
  <si>
    <t>Ezequiel Duran</t>
  </si>
  <si>
    <t>1B,2B,3B,SS,INF,OF</t>
  </si>
  <si>
    <t>*04ew7*</t>
  </si>
  <si>
    <t>Aaron Ashby</t>
  </si>
  <si>
    <t>509.0</t>
  </si>
  <si>
    <t>*04y76*</t>
  </si>
  <si>
    <t>Jacob Webb</t>
  </si>
  <si>
    <t>*03oh0*</t>
  </si>
  <si>
    <t>Willson Contreras</t>
  </si>
  <si>
    <t>93.2</t>
  </si>
  <si>
    <t>*05jp9*</t>
  </si>
  <si>
    <t>Bryce Elder</t>
  </si>
  <si>
    <t>580.0</t>
  </si>
  <si>
    <t>*04azv*</t>
  </si>
  <si>
    <t>Jake Burger</t>
  </si>
  <si>
    <t>248.2</t>
  </si>
  <si>
    <t>*04s1g*</t>
  </si>
  <si>
    <t>Gabriel Moreno</t>
  </si>
  <si>
    <t>91.0</t>
  </si>
  <si>
    <t>*05ynb*</t>
  </si>
  <si>
    <t>Liam Hicks</t>
  </si>
  <si>
    <t>*04c0o*</t>
  </si>
  <si>
    <t>Jose Soriano</t>
  </si>
  <si>
    <t>242.6</t>
  </si>
  <si>
    <t>*03poo*</t>
  </si>
  <si>
    <t>Peter Lambert</t>
  </si>
  <si>
    <t>280.4</t>
  </si>
  <si>
    <t>*05rch*</t>
  </si>
  <si>
    <t>Colson Montgomery</t>
  </si>
  <si>
    <t>3B,SS,INF</t>
  </si>
  <si>
    <t>149.8</t>
  </si>
  <si>
    <t>*0648n*</t>
  </si>
  <si>
    <t>Chase Meidroth</t>
  </si>
  <si>
    <t>240.8</t>
  </si>
  <si>
    <t>*05yb0*</t>
  </si>
  <si>
    <t>T.J. Rumfield</t>
  </si>
  <si>
    <t>206.6</t>
  </si>
  <si>
    <t>*04ej3*</t>
  </si>
  <si>
    <t>Riley O'Brien</t>
  </si>
  <si>
    <t>328.6</t>
  </si>
  <si>
    <t>*04pps*</t>
  </si>
  <si>
    <t>Hogan Harris</t>
  </si>
  <si>
    <t>556.0</t>
  </si>
  <si>
    <t>*03aqw*</t>
  </si>
  <si>
    <t>Mauricio Dubon</t>
  </si>
  <si>
    <t>2B,3B,SS,INF,OF</t>
  </si>
  <si>
    <t>*041q8*</t>
  </si>
  <si>
    <t>Brandon Marsh</t>
  </si>
  <si>
    <t>331.6</t>
  </si>
  <si>
    <t>*02bx4*</t>
  </si>
  <si>
    <t>Clay Holmes</t>
  </si>
  <si>
    <t>370.3</t>
  </si>
  <si>
    <t>*04ddz*</t>
  </si>
  <si>
    <t>Yohan Ramirez</t>
  </si>
  <si>
    <t>*05js3*</t>
  </si>
  <si>
    <t>Kyle Harrison</t>
  </si>
  <si>
    <t>290.4</t>
  </si>
  <si>
    <t>*05y7x*</t>
  </si>
  <si>
    <t>Cole Young</t>
  </si>
  <si>
    <t>334.0</t>
  </si>
  <si>
    <t>*0648r*</t>
  </si>
  <si>
    <t>Andrew Morris</t>
  </si>
  <si>
    <t>*0597k*</t>
  </si>
  <si>
    <t>Nick Gonzales</t>
  </si>
  <si>
    <t>320.0</t>
  </si>
  <si>
    <t>*06f1r*</t>
  </si>
  <si>
    <t>Connelly Early</t>
  </si>
  <si>
    <t>274.0</t>
  </si>
  <si>
    <t>*03pom*</t>
  </si>
  <si>
    <t>Austin Riley</t>
  </si>
  <si>
    <t>113.2</t>
  </si>
  <si>
    <t>*061cq*</t>
  </si>
  <si>
    <t>Ryan Watson</t>
  </si>
  <si>
    <t>*01fhm*</t>
  </si>
  <si>
    <t>Martin Perez</t>
  </si>
  <si>
    <t>536.0</t>
  </si>
  <si>
    <t>*05y3u*</t>
  </si>
  <si>
    <t>Munetaka Murakami</t>
  </si>
  <si>
    <t>67.8</t>
  </si>
  <si>
    <t>*0313t*</t>
  </si>
  <si>
    <t>Tyler Kinley</t>
  </si>
  <si>
    <t>*06plc*</t>
  </si>
  <si>
    <t>Sam Antonacci</t>
  </si>
  <si>
    <t>*04pqo*</t>
  </si>
  <si>
    <t>Braydon Fisher</t>
  </si>
  <si>
    <t>*05vy6*</t>
  </si>
  <si>
    <t>Bryce Miller</t>
  </si>
  <si>
    <t>*05161*</t>
  </si>
  <si>
    <t>Dominic Canzone</t>
  </si>
  <si>
    <t>205.4</t>
  </si>
  <si>
    <t>*05y72*</t>
  </si>
  <si>
    <t>Landen Roupp</t>
  </si>
  <si>
    <t>312.2</t>
  </si>
  <si>
    <t>*03whq*</t>
  </si>
  <si>
    <t>Ty France</t>
  </si>
  <si>
    <t>229.8</t>
  </si>
  <si>
    <t>*066b2*</t>
  </si>
  <si>
    <t>Drew Sommers</t>
  </si>
  <si>
    <t>*04z9e*</t>
  </si>
  <si>
    <t>George Soriano</t>
  </si>
  <si>
    <t>*04aeh*</t>
  </si>
  <si>
    <t>DL Hall</t>
  </si>
  <si>
    <t>*05jp4*</t>
  </si>
  <si>
    <t>Casey Schmitt</t>
  </si>
  <si>
    <t>1B,2B,3B,INF,OF</t>
  </si>
  <si>
    <t>209.6</t>
  </si>
  <si>
    <t>*04pvu*</t>
  </si>
  <si>
    <t>Stephen Kolek</t>
  </si>
  <si>
    <t>*06dn7*</t>
  </si>
  <si>
    <t>A.J. Ewing</t>
  </si>
  <si>
    <t>210.2</t>
  </si>
  <si>
    <t>*06mi0*</t>
  </si>
  <si>
    <t>Bryan King</t>
  </si>
  <si>
    <t>602.3</t>
  </si>
  <si>
    <t>*05y7t*</t>
  </si>
  <si>
    <t>Henry Bolte</t>
  </si>
  <si>
    <t>210.8</t>
  </si>
  <si>
    <t>*04xne*</t>
  </si>
  <si>
    <t>Yoendrys Gomez</t>
  </si>
  <si>
    <t>*041e2*</t>
  </si>
  <si>
    <t>Mickey Moniak</t>
  </si>
  <si>
    <t>266.4</t>
  </si>
  <si>
    <t>*06dsa*</t>
  </si>
  <si>
    <t>Kyle Karros</t>
  </si>
  <si>
    <t>233.2</t>
  </si>
  <si>
    <t>*03btm*</t>
  </si>
  <si>
    <t>Jose Alvarado</t>
  </si>
  <si>
    <t>821.0</t>
  </si>
  <si>
    <t>*05jnq*</t>
  </si>
  <si>
    <t>Clayton Beeter</t>
  </si>
  <si>
    <t>*04y44*</t>
  </si>
  <si>
    <t>Josh Jung</t>
  </si>
  <si>
    <t>225.0</t>
  </si>
  <si>
    <t>*04pmu*</t>
  </si>
  <si>
    <t>Ryan Jeffers</t>
  </si>
  <si>
    <t>232.4</t>
  </si>
  <si>
    <t>*05jrv*</t>
  </si>
  <si>
    <t>Will Klein</t>
  </si>
  <si>
    <t>*02mw6*</t>
  </si>
  <si>
    <t>Corey Seager</t>
  </si>
  <si>
    <t>120.6</t>
  </si>
  <si>
    <t>*04q2n*</t>
  </si>
  <si>
    <t>Adley Rutschman</t>
  </si>
  <si>
    <t>184.2</t>
  </si>
  <si>
    <t>*05acp*</t>
  </si>
  <si>
    <t>Justin Martinez</t>
  </si>
  <si>
    <t>*05u2q*</t>
  </si>
  <si>
    <t>Blade Tidwell</t>
  </si>
  <si>
    <t>*051ui*</t>
  </si>
  <si>
    <t>Jacob Lopez</t>
  </si>
  <si>
    <t>483.3</t>
  </si>
  <si>
    <t>*05t9g*</t>
  </si>
  <si>
    <t>Gage Jump</t>
  </si>
  <si>
    <t>*04mn2*</t>
  </si>
  <si>
    <t>Griffin Conine</t>
  </si>
  <si>
    <t>365.5</t>
  </si>
  <si>
    <t>*0423c*</t>
  </si>
  <si>
    <t>Carlos Cortes</t>
  </si>
  <si>
    <t>OF,RP</t>
  </si>
  <si>
    <t>*041rd*</t>
  </si>
  <si>
    <t>Corbin Burnes</t>
  </si>
  <si>
    <t>382.3</t>
  </si>
  <si>
    <t>*04vvy*</t>
  </si>
  <si>
    <t>Andruw Monasterio</t>
  </si>
  <si>
    <t>1B,2B,SS,INF</t>
  </si>
  <si>
    <t>*041w0*</t>
  </si>
  <si>
    <t>Richard Lovelady</t>
  </si>
  <si>
    <t>*04y79*</t>
  </si>
  <si>
    <t>Victor Mesa Jr.</t>
  </si>
  <si>
    <t>190.0</t>
  </si>
  <si>
    <t>*05ydp*</t>
  </si>
  <si>
    <t>Kade Anderson</t>
  </si>
  <si>
    <t>*05rcg*</t>
  </si>
  <si>
    <t>Braden Montgomery</t>
  </si>
  <si>
    <t>384.8</t>
  </si>
  <si>
    <t>*04eqw*</t>
  </si>
  <si>
    <t>Isaac Mattson</t>
  </si>
  <si>
    <t>*06dlz*</t>
  </si>
  <si>
    <t>Ryan Waldschmidt</t>
  </si>
  <si>
    <t>382.0</t>
  </si>
  <si>
    <t>*05xor*</t>
  </si>
  <si>
    <t>Christian Encarnacion-Strand</t>
  </si>
  <si>
    <t>*04puc*</t>
  </si>
  <si>
    <t>Bennett Sousa</t>
  </si>
  <si>
    <t>526.0</t>
  </si>
  <si>
    <t>*05jqk*</t>
  </si>
  <si>
    <t>Carson Seymour</t>
  </si>
  <si>
    <t>*060ub*</t>
  </si>
  <si>
    <t>Colt Emerson</t>
  </si>
  <si>
    <t>336.8</t>
  </si>
  <si>
    <t>*05xq2*</t>
  </si>
  <si>
    <t>Mitch Bratt</t>
  </si>
  <si>
    <t>*06fpn*</t>
  </si>
  <si>
    <t>Brett Bateman</t>
  </si>
  <si>
    <t>582.3</t>
  </si>
  <si>
    <t>*05mru*</t>
  </si>
  <si>
    <t>Thomas Saggese</t>
  </si>
  <si>
    <t>*05rcf*</t>
  </si>
  <si>
    <t>Joshua Baez</t>
  </si>
  <si>
    <t>*06b72*</t>
  </si>
  <si>
    <t>George Lombard Jr.</t>
  </si>
  <si>
    <t>*06hx4*</t>
  </si>
  <si>
    <t>Kaelen Culpepper</t>
  </si>
  <si>
    <t>*05rcw*</t>
  </si>
  <si>
    <t>Leo Bernal</t>
  </si>
  <si>
    <t>595.3</t>
  </si>
  <si>
    <t>*05gbg*</t>
  </si>
  <si>
    <t>Zac Veen</t>
  </si>
  <si>
    <t>*05js4*</t>
  </si>
  <si>
    <t>Yohandy Morales</t>
  </si>
  <si>
    <t>*061zv*</t>
  </si>
  <si>
    <t>Josue De Paula</t>
  </si>
  <si>
    <t>*041e3*</t>
  </si>
  <si>
    <t>Braxton Garrett</t>
  </si>
  <si>
    <t>*06c78*</t>
  </si>
  <si>
    <t>Franklin Arias</t>
  </si>
  <si>
    <t>*06c1j*</t>
  </si>
  <si>
    <t>Cam Cannarella</t>
  </si>
  <si>
    <t>*05ge1*</t>
  </si>
  <si>
    <t>Ryan Clifford</t>
  </si>
  <si>
    <t>738.0</t>
  </si>
  <si>
    <t>*06alk*</t>
  </si>
  <si>
    <t>Charlie Condon</t>
  </si>
  <si>
    <t>*06mph*</t>
  </si>
  <si>
    <t>Anthony Eyanson</t>
  </si>
  <si>
    <t>*05u2m*</t>
  </si>
  <si>
    <t>Theo Gillen</t>
  </si>
  <si>
    <t>*06pi0*</t>
  </si>
  <si>
    <t>Eric Hartman</t>
  </si>
  <si>
    <t>*067yn*</t>
  </si>
  <si>
    <t>Seth Hernandez</t>
  </si>
  <si>
    <t>*06eyu*</t>
  </si>
  <si>
    <t>Zyhir Hope</t>
  </si>
  <si>
    <t>*05rc5*</t>
  </si>
  <si>
    <t>Termarr Johnson</t>
  </si>
  <si>
    <t>*062h4*</t>
  </si>
  <si>
    <t>Carlos Lagrange</t>
  </si>
  <si>
    <t>*06ibv*</t>
  </si>
  <si>
    <t>Jesus Made</t>
  </si>
  <si>
    <t>728.5</t>
  </si>
  <si>
    <t>*062z7*</t>
  </si>
  <si>
    <t>Karson Milbrandt</t>
  </si>
  <si>
    <t>*02bqy*</t>
  </si>
  <si>
    <t>Joe Musgrove</t>
  </si>
  <si>
    <t>396.7</t>
  </si>
  <si>
    <t>*06481*</t>
  </si>
  <si>
    <t>Jacob Reimer</t>
  </si>
  <si>
    <t>*06mnp*</t>
  </si>
  <si>
    <t>Rainiel Rodriguez</t>
  </si>
  <si>
    <t>*061wh*</t>
  </si>
  <si>
    <t>Jefferson Rojas</t>
  </si>
  <si>
    <t>*05ynx*</t>
  </si>
  <si>
    <t>River Ryan</t>
  </si>
  <si>
    <t>*066ip*</t>
  </si>
  <si>
    <t>Mike Sirota</t>
  </si>
  <si>
    <t>*06ier*</t>
  </si>
  <si>
    <t>Ryan Sloan</t>
  </si>
  <si>
    <t>*03deg*</t>
  </si>
  <si>
    <t>Justin Steele</t>
  </si>
  <si>
    <t>*066ir*</t>
  </si>
  <si>
    <t>James Tibbs III</t>
  </si>
  <si>
    <t>*067yp*</t>
  </si>
  <si>
    <t>Ralphy Velazquez</t>
  </si>
  <si>
    <t>*06f1c*</t>
  </si>
  <si>
    <t>Jack Wenninger</t>
  </si>
  <si>
    <t>*06n8y*</t>
  </si>
  <si>
    <t>Eli Willits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</si>
</sst>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Fill="1"/>
    <xf numFmtId="0" fontId="0" fillId="0" borderId="0" xfId="0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84"/>
  <sheetViews>
    <sheetView tabSelected="1" workbookViewId="0">
      <selection activeCell="A146" sqref="A146:XFD146"/>
    </sheetView>
  </sheetViews>
  <sheetFormatPr baseColWidth="10" defaultColWidth="8.83203125" defaultRowHeight="15" x14ac:dyDescent="0.2"/>
  <cols>
    <col min="1" max="2" width="9" style="2" customWidth="1"/>
    <col min="3" max="4" width="30" style="2" customWidth="1"/>
    <col min="5" max="5" width="7" style="2" customWidth="1"/>
    <col min="6" max="6" width="20" style="2" customWidth="1"/>
    <col min="7" max="7" width="10" style="2" customWidth="1"/>
    <col min="8" max="8" width="20" style="2" customWidth="1"/>
    <col min="9" max="9" width="18" style="2" customWidth="1"/>
    <col min="10" max="10" width="8" style="2" customWidth="1"/>
    <col min="11" max="11" width="29" style="2" customWidth="1"/>
    <col min="12" max="12" width="14" style="2" customWidth="1"/>
    <col min="13" max="16384" width="8.83203125" style="2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s="3" customFormat="1" x14ac:dyDescent="0.2">
      <c r="A2" s="3" t="s">
        <v>12</v>
      </c>
      <c r="B2" s="3" t="s">
        <v>13</v>
      </c>
      <c r="C2" s="3" t="s">
        <v>14</v>
      </c>
      <c r="D2" s="3" t="s">
        <v>15</v>
      </c>
      <c r="E2" s="3" t="s">
        <v>16</v>
      </c>
      <c r="F2" s="3" t="s">
        <v>17</v>
      </c>
      <c r="G2" s="3" t="s">
        <v>18</v>
      </c>
      <c r="H2" s="3" t="s">
        <v>19</v>
      </c>
      <c r="I2" s="3" t="s">
        <v>20</v>
      </c>
      <c r="J2" s="3" t="s">
        <v>21</v>
      </c>
      <c r="K2" s="3">
        <f>MIN(25,ROUNDUP(J2/12,0))</f>
        <v>3</v>
      </c>
      <c r="L2" s="3">
        <f>C2-K2</f>
        <v>18</v>
      </c>
    </row>
    <row r="3" spans="1:12" s="3" customFormat="1" x14ac:dyDescent="0.2">
      <c r="A3" s="3" t="s">
        <v>51</v>
      </c>
      <c r="B3" s="3" t="s">
        <v>23</v>
      </c>
      <c r="C3" s="3" t="s">
        <v>52</v>
      </c>
      <c r="D3" s="3" t="s">
        <v>53</v>
      </c>
      <c r="E3" s="3" t="s">
        <v>54</v>
      </c>
      <c r="F3" s="3" t="s">
        <v>55</v>
      </c>
      <c r="G3" s="3" t="s">
        <v>27</v>
      </c>
      <c r="H3" s="3" t="s">
        <v>19</v>
      </c>
      <c r="I3" s="3" t="s">
        <v>56</v>
      </c>
      <c r="J3" s="3" t="s">
        <v>57</v>
      </c>
      <c r="K3" s="3">
        <f>MIN(25,ROUNDUP(J3/12,0))</f>
        <v>2</v>
      </c>
      <c r="L3" s="3">
        <f>C3-K3</f>
        <v>18</v>
      </c>
    </row>
    <row r="4" spans="1:12" s="3" customFormat="1" x14ac:dyDescent="0.2">
      <c r="A4" s="3" t="s">
        <v>89</v>
      </c>
      <c r="B4" s="3" t="s">
        <v>13</v>
      </c>
      <c r="C4" s="3" t="s">
        <v>14</v>
      </c>
      <c r="D4" s="3" t="s">
        <v>90</v>
      </c>
      <c r="E4" s="3" t="s">
        <v>91</v>
      </c>
      <c r="F4" s="3" t="s">
        <v>92</v>
      </c>
      <c r="G4" s="3" t="s">
        <v>18</v>
      </c>
      <c r="H4" s="3" t="s">
        <v>19</v>
      </c>
      <c r="I4" s="3" t="s">
        <v>20</v>
      </c>
      <c r="J4" s="3" t="s">
        <v>93</v>
      </c>
      <c r="K4" s="3">
        <f>MIN(25,ROUNDUP(J4/12,0))</f>
        <v>4</v>
      </c>
      <c r="L4" s="3">
        <f>C4-K4</f>
        <v>17</v>
      </c>
    </row>
    <row r="5" spans="1:12" s="3" customFormat="1" x14ac:dyDescent="0.2">
      <c r="A5" s="3" t="s">
        <v>29</v>
      </c>
      <c r="B5" s="3" t="s">
        <v>30</v>
      </c>
      <c r="C5" s="3" t="s">
        <v>31</v>
      </c>
      <c r="D5" s="3" t="s">
        <v>32</v>
      </c>
      <c r="E5" s="3" t="s">
        <v>33</v>
      </c>
      <c r="F5" s="3" t="s">
        <v>26</v>
      </c>
      <c r="G5" s="3" t="s">
        <v>34</v>
      </c>
      <c r="H5" s="3" t="s">
        <v>19</v>
      </c>
      <c r="I5" s="3" t="s">
        <v>35</v>
      </c>
      <c r="J5" s="3" t="s">
        <v>36</v>
      </c>
      <c r="K5" s="3">
        <f>MIN(25,ROUNDUP(J5/12,0))</f>
        <v>2</v>
      </c>
      <c r="L5" s="3">
        <f>C5-K5</f>
        <v>15</v>
      </c>
    </row>
    <row r="6" spans="1:12" s="3" customFormat="1" x14ac:dyDescent="0.2">
      <c r="A6" s="3" t="s">
        <v>58</v>
      </c>
      <c r="B6" s="3" t="s">
        <v>59</v>
      </c>
      <c r="C6" s="3" t="s">
        <v>60</v>
      </c>
      <c r="D6" s="3" t="s">
        <v>61</v>
      </c>
      <c r="E6" s="3" t="s">
        <v>62</v>
      </c>
      <c r="F6" s="3" t="s">
        <v>26</v>
      </c>
      <c r="G6" s="3" t="s">
        <v>63</v>
      </c>
      <c r="H6" s="3" t="s">
        <v>19</v>
      </c>
      <c r="I6" s="3" t="s">
        <v>64</v>
      </c>
      <c r="J6" s="3" t="s">
        <v>65</v>
      </c>
      <c r="K6" s="3">
        <f>MIN(25,ROUNDUP(J6/12,0))</f>
        <v>1</v>
      </c>
      <c r="L6" s="3">
        <f>C6-K6</f>
        <v>15</v>
      </c>
    </row>
    <row r="7" spans="1:12" x14ac:dyDescent="0.2">
      <c r="A7" s="2" t="s">
        <v>798</v>
      </c>
      <c r="B7" s="2" t="s">
        <v>114</v>
      </c>
      <c r="C7" s="2" t="s">
        <v>56</v>
      </c>
      <c r="D7" s="2" t="s">
        <v>799</v>
      </c>
      <c r="E7" s="2" t="s">
        <v>97</v>
      </c>
      <c r="F7" s="2" t="s">
        <v>47</v>
      </c>
      <c r="G7" s="2" t="s">
        <v>116</v>
      </c>
      <c r="H7" s="2" t="s">
        <v>19</v>
      </c>
      <c r="I7" s="2" t="s">
        <v>342</v>
      </c>
      <c r="J7" s="2" t="s">
        <v>800</v>
      </c>
      <c r="K7" s="2">
        <f>MIN(25,ROUNDUP(J7/12,0))</f>
        <v>7</v>
      </c>
      <c r="L7" s="2">
        <f>C7-K7</f>
        <v>15</v>
      </c>
    </row>
    <row r="8" spans="1:12" s="3" customFormat="1" x14ac:dyDescent="0.2">
      <c r="A8" s="3" t="s">
        <v>179</v>
      </c>
      <c r="B8" s="3" t="s">
        <v>114</v>
      </c>
      <c r="C8" s="3" t="s">
        <v>14</v>
      </c>
      <c r="D8" s="3" t="s">
        <v>180</v>
      </c>
      <c r="E8" s="3" t="s">
        <v>172</v>
      </c>
      <c r="F8" s="3" t="s">
        <v>181</v>
      </c>
      <c r="G8" s="3" t="s">
        <v>116</v>
      </c>
      <c r="H8" s="3" t="s">
        <v>19</v>
      </c>
      <c r="I8" s="3" t="s">
        <v>20</v>
      </c>
      <c r="J8" s="3" t="s">
        <v>182</v>
      </c>
      <c r="K8" s="3">
        <f>MIN(25,ROUNDUP(J8/12,0))</f>
        <v>8</v>
      </c>
      <c r="L8" s="3">
        <f>C8-K8</f>
        <v>13</v>
      </c>
    </row>
    <row r="9" spans="1:12" s="3" customFormat="1" x14ac:dyDescent="0.2">
      <c r="A9" s="3" t="s">
        <v>533</v>
      </c>
      <c r="B9" s="3" t="s">
        <v>95</v>
      </c>
      <c r="C9" s="3" t="s">
        <v>20</v>
      </c>
      <c r="D9" s="3" t="s">
        <v>534</v>
      </c>
      <c r="E9" s="3" t="s">
        <v>25</v>
      </c>
      <c r="F9" s="3" t="s">
        <v>47</v>
      </c>
      <c r="G9" s="3" t="s">
        <v>98</v>
      </c>
      <c r="H9" s="3" t="s">
        <v>19</v>
      </c>
      <c r="I9" s="3" t="s">
        <v>378</v>
      </c>
      <c r="J9" s="3" t="s">
        <v>535</v>
      </c>
      <c r="K9" s="3">
        <f>MIN(25,ROUNDUP(J9/12,0))</f>
        <v>10</v>
      </c>
      <c r="L9" s="3">
        <f>C9-K9</f>
        <v>13</v>
      </c>
    </row>
    <row r="10" spans="1:12" s="3" customFormat="1" x14ac:dyDescent="0.2">
      <c r="A10" s="3" t="s">
        <v>22</v>
      </c>
      <c r="B10" s="3" t="s">
        <v>23</v>
      </c>
      <c r="C10" s="3" t="s">
        <v>14</v>
      </c>
      <c r="D10" s="3" t="s">
        <v>24</v>
      </c>
      <c r="E10" s="3" t="s">
        <v>25</v>
      </c>
      <c r="F10" s="3" t="s">
        <v>26</v>
      </c>
      <c r="G10" s="3" t="s">
        <v>27</v>
      </c>
      <c r="H10" s="3" t="s">
        <v>19</v>
      </c>
      <c r="I10" s="3" t="s">
        <v>20</v>
      </c>
      <c r="J10" s="3" t="s">
        <v>28</v>
      </c>
      <c r="K10" s="3">
        <f>MIN(25,ROUNDUP(J10/12,0))</f>
        <v>9</v>
      </c>
      <c r="L10" s="3">
        <f>C10-K10</f>
        <v>12</v>
      </c>
    </row>
    <row r="11" spans="1:12" s="3" customFormat="1" x14ac:dyDescent="0.2">
      <c r="A11" s="3" t="s">
        <v>73</v>
      </c>
      <c r="B11" s="3" t="s">
        <v>74</v>
      </c>
      <c r="C11" s="3" t="s">
        <v>75</v>
      </c>
      <c r="D11" s="3" t="s">
        <v>76</v>
      </c>
      <c r="E11" s="3" t="s">
        <v>46</v>
      </c>
      <c r="F11" s="3" t="s">
        <v>47</v>
      </c>
      <c r="G11" s="3" t="s">
        <v>77</v>
      </c>
      <c r="H11" s="3" t="s">
        <v>19</v>
      </c>
      <c r="I11" s="3" t="s">
        <v>31</v>
      </c>
      <c r="J11" s="3" t="s">
        <v>78</v>
      </c>
      <c r="K11" s="3">
        <f>MIN(25,ROUNDUP(J11/12,0))</f>
        <v>3</v>
      </c>
      <c r="L11" s="3">
        <f>C11-K11</f>
        <v>12</v>
      </c>
    </row>
    <row r="12" spans="1:12" s="3" customFormat="1" x14ac:dyDescent="0.2">
      <c r="A12" s="3" t="s">
        <v>79</v>
      </c>
      <c r="B12" s="3" t="s">
        <v>80</v>
      </c>
      <c r="C12" s="3" t="s">
        <v>64</v>
      </c>
      <c r="D12" s="3" t="s">
        <v>81</v>
      </c>
      <c r="E12" s="3" t="s">
        <v>25</v>
      </c>
      <c r="F12" s="3" t="s">
        <v>82</v>
      </c>
      <c r="G12" s="3" t="s">
        <v>83</v>
      </c>
      <c r="H12" s="3" t="s">
        <v>19</v>
      </c>
      <c r="I12" s="3" t="s">
        <v>52</v>
      </c>
      <c r="J12" s="3" t="s">
        <v>84</v>
      </c>
      <c r="K12" s="3">
        <f>MIN(25,ROUNDUP(J12/12,0))</f>
        <v>6</v>
      </c>
      <c r="L12" s="3">
        <f>C12-K12</f>
        <v>12</v>
      </c>
    </row>
    <row r="13" spans="1:12" s="3" customFormat="1" x14ac:dyDescent="0.2">
      <c r="A13" s="3" t="s">
        <v>100</v>
      </c>
      <c r="B13" s="3" t="s">
        <v>101</v>
      </c>
      <c r="C13" s="3" t="s">
        <v>60</v>
      </c>
      <c r="D13" s="3" t="s">
        <v>102</v>
      </c>
      <c r="E13" s="3" t="s">
        <v>103</v>
      </c>
      <c r="F13" s="3" t="s">
        <v>26</v>
      </c>
      <c r="G13" s="3" t="s">
        <v>104</v>
      </c>
      <c r="H13" s="3" t="s">
        <v>19</v>
      </c>
      <c r="I13" s="3" t="s">
        <v>64</v>
      </c>
      <c r="J13" s="3" t="s">
        <v>105</v>
      </c>
      <c r="K13" s="3">
        <f>MIN(25,ROUNDUP(J13/12,0))</f>
        <v>4</v>
      </c>
      <c r="L13" s="3">
        <f>C13-K13</f>
        <v>12</v>
      </c>
    </row>
    <row r="14" spans="1:12" x14ac:dyDescent="0.2">
      <c r="A14" s="2" t="s">
        <v>106</v>
      </c>
      <c r="B14" s="2" t="s">
        <v>101</v>
      </c>
      <c r="C14" s="2" t="s">
        <v>31</v>
      </c>
      <c r="D14" s="2" t="s">
        <v>107</v>
      </c>
      <c r="E14" s="2" t="s">
        <v>87</v>
      </c>
      <c r="F14" s="2" t="s">
        <v>47</v>
      </c>
      <c r="G14" s="2" t="s">
        <v>104</v>
      </c>
      <c r="H14" s="2" t="s">
        <v>19</v>
      </c>
      <c r="I14" s="2" t="s">
        <v>35</v>
      </c>
      <c r="J14" s="2" t="s">
        <v>108</v>
      </c>
      <c r="K14" s="2">
        <f>MIN(25,ROUNDUP(J14/12,0))</f>
        <v>5</v>
      </c>
      <c r="L14" s="2">
        <f>C14-K14</f>
        <v>12</v>
      </c>
    </row>
    <row r="15" spans="1:12" s="3" customFormat="1" x14ac:dyDescent="0.2">
      <c r="A15" s="3" t="s">
        <v>113</v>
      </c>
      <c r="B15" s="3" t="s">
        <v>114</v>
      </c>
      <c r="C15" s="3" t="s">
        <v>75</v>
      </c>
      <c r="D15" s="3" t="s">
        <v>115</v>
      </c>
      <c r="E15" s="3" t="s">
        <v>62</v>
      </c>
      <c r="F15" s="3" t="s">
        <v>17</v>
      </c>
      <c r="G15" s="3" t="s">
        <v>116</v>
      </c>
      <c r="H15" s="3" t="s">
        <v>19</v>
      </c>
      <c r="I15" s="3" t="s">
        <v>31</v>
      </c>
      <c r="J15" s="3" t="s">
        <v>117</v>
      </c>
      <c r="K15" s="3">
        <f>MIN(25,ROUNDUP(J15/12,0))</f>
        <v>3</v>
      </c>
      <c r="L15" s="3">
        <f>C15-K15</f>
        <v>12</v>
      </c>
    </row>
    <row r="16" spans="1:12" s="3" customFormat="1" x14ac:dyDescent="0.2">
      <c r="A16" s="3" t="s">
        <v>321</v>
      </c>
      <c r="B16" s="3" t="s">
        <v>74</v>
      </c>
      <c r="C16" s="3" t="s">
        <v>14</v>
      </c>
      <c r="D16" s="3" t="s">
        <v>322</v>
      </c>
      <c r="E16" s="3" t="s">
        <v>236</v>
      </c>
      <c r="F16" s="3" t="s">
        <v>244</v>
      </c>
      <c r="G16" s="3" t="s">
        <v>77</v>
      </c>
      <c r="H16" s="3" t="s">
        <v>19</v>
      </c>
      <c r="I16" s="3" t="s">
        <v>20</v>
      </c>
      <c r="J16" s="3" t="s">
        <v>323</v>
      </c>
      <c r="K16" s="3">
        <f>MIN(25,ROUNDUP(J16/12,0))</f>
        <v>9</v>
      </c>
      <c r="L16" s="3">
        <f>C16-K16</f>
        <v>12</v>
      </c>
    </row>
    <row r="17" spans="1:12" s="3" customFormat="1" ht="17" customHeight="1" x14ac:dyDescent="0.2">
      <c r="A17" s="3" t="s">
        <v>66</v>
      </c>
      <c r="B17" s="3" t="s">
        <v>67</v>
      </c>
      <c r="C17" s="3" t="s">
        <v>68</v>
      </c>
      <c r="D17" s="3" t="s">
        <v>69</v>
      </c>
      <c r="E17" s="3" t="s">
        <v>70</v>
      </c>
      <c r="F17" s="3" t="s">
        <v>47</v>
      </c>
      <c r="G17" s="3" t="s">
        <v>71</v>
      </c>
      <c r="H17" s="3" t="s">
        <v>19</v>
      </c>
      <c r="I17" s="3" t="s">
        <v>60</v>
      </c>
      <c r="J17" s="3" t="s">
        <v>72</v>
      </c>
      <c r="K17" s="3">
        <f>MIN(25,ROUNDUP(J17/12,0))</f>
        <v>3</v>
      </c>
      <c r="L17" s="3">
        <f>C17-K17</f>
        <v>11</v>
      </c>
    </row>
    <row r="18" spans="1:12" s="3" customFormat="1" x14ac:dyDescent="0.2">
      <c r="A18" s="3" t="s">
        <v>183</v>
      </c>
      <c r="B18" s="3" t="s">
        <v>67</v>
      </c>
      <c r="C18" s="3" t="s">
        <v>52</v>
      </c>
      <c r="D18" s="3" t="s">
        <v>184</v>
      </c>
      <c r="E18" s="3" t="s">
        <v>177</v>
      </c>
      <c r="F18" s="3" t="s">
        <v>26</v>
      </c>
      <c r="G18" s="3" t="s">
        <v>71</v>
      </c>
      <c r="H18" s="3" t="s">
        <v>19</v>
      </c>
      <c r="I18" s="3" t="s">
        <v>56</v>
      </c>
      <c r="J18" s="3" t="s">
        <v>185</v>
      </c>
      <c r="K18" s="3">
        <f>MIN(25,ROUNDUP(J18/12,0))</f>
        <v>9</v>
      </c>
      <c r="L18" s="3">
        <f>C18-K18</f>
        <v>11</v>
      </c>
    </row>
    <row r="19" spans="1:12" x14ac:dyDescent="0.2">
      <c r="A19" s="2" t="s">
        <v>383</v>
      </c>
      <c r="B19" s="2" t="s">
        <v>114</v>
      </c>
      <c r="C19" s="2" t="s">
        <v>35</v>
      </c>
      <c r="D19" s="2" t="s">
        <v>384</v>
      </c>
      <c r="E19" s="2" t="s">
        <v>97</v>
      </c>
      <c r="F19" s="2" t="s">
        <v>26</v>
      </c>
      <c r="G19" s="2" t="s">
        <v>116</v>
      </c>
      <c r="H19" s="2" t="s">
        <v>19</v>
      </c>
      <c r="I19" s="2" t="s">
        <v>14</v>
      </c>
      <c r="J19" s="2" t="s">
        <v>385</v>
      </c>
      <c r="K19" s="2">
        <f>MIN(25,ROUNDUP(J19/12,0))</f>
        <v>8</v>
      </c>
      <c r="L19" s="2">
        <f>C19-K19</f>
        <v>11</v>
      </c>
    </row>
    <row r="20" spans="1:12" x14ac:dyDescent="0.2">
      <c r="A20" s="2" t="s">
        <v>94</v>
      </c>
      <c r="B20" s="2" t="s">
        <v>95</v>
      </c>
      <c r="C20" s="2" t="s">
        <v>60</v>
      </c>
      <c r="D20" s="2" t="s">
        <v>96</v>
      </c>
      <c r="E20" s="2" t="s">
        <v>97</v>
      </c>
      <c r="F20" s="2" t="s">
        <v>82</v>
      </c>
      <c r="G20" s="2" t="s">
        <v>98</v>
      </c>
      <c r="H20" s="2" t="s">
        <v>19</v>
      </c>
      <c r="I20" s="2" t="s">
        <v>64</v>
      </c>
      <c r="J20" s="2" t="s">
        <v>99</v>
      </c>
      <c r="K20" s="2">
        <f>MIN(25,ROUNDUP(J20/12,0))</f>
        <v>6</v>
      </c>
      <c r="L20" s="2">
        <f>C20-K20</f>
        <v>10</v>
      </c>
    </row>
    <row r="21" spans="1:12" s="3" customFormat="1" x14ac:dyDescent="0.2">
      <c r="A21" s="3" t="s">
        <v>109</v>
      </c>
      <c r="B21" s="3" t="s">
        <v>101</v>
      </c>
      <c r="C21" s="3" t="s">
        <v>68</v>
      </c>
      <c r="D21" s="3" t="s">
        <v>110</v>
      </c>
      <c r="E21" s="3" t="s">
        <v>111</v>
      </c>
      <c r="F21" s="3" t="s">
        <v>47</v>
      </c>
      <c r="G21" s="3" t="s">
        <v>104</v>
      </c>
      <c r="H21" s="3" t="s">
        <v>19</v>
      </c>
      <c r="I21" s="3" t="s">
        <v>60</v>
      </c>
      <c r="J21" s="3" t="s">
        <v>112</v>
      </c>
      <c r="K21" s="3">
        <f>MIN(25,ROUNDUP(J21/12,0))</f>
        <v>4</v>
      </c>
      <c r="L21" s="3">
        <f>C21-K21</f>
        <v>10</v>
      </c>
    </row>
    <row r="22" spans="1:12" s="3" customFormat="1" x14ac:dyDescent="0.2">
      <c r="A22" s="3" t="s">
        <v>530</v>
      </c>
      <c r="B22" s="3" t="s">
        <v>95</v>
      </c>
      <c r="C22" s="3" t="s">
        <v>64</v>
      </c>
      <c r="D22" s="3" t="s">
        <v>531</v>
      </c>
      <c r="E22" s="3" t="s">
        <v>151</v>
      </c>
      <c r="F22" s="3" t="s">
        <v>26</v>
      </c>
      <c r="G22" s="3" t="s">
        <v>98</v>
      </c>
      <c r="H22" s="3" t="s">
        <v>19</v>
      </c>
      <c r="I22" s="3" t="s">
        <v>52</v>
      </c>
      <c r="J22" s="3" t="s">
        <v>532</v>
      </c>
      <c r="K22" s="3">
        <f>MIN(25,ROUNDUP(J22/12,0))</f>
        <v>8</v>
      </c>
      <c r="L22" s="3">
        <f>C22-K22</f>
        <v>10</v>
      </c>
    </row>
    <row r="23" spans="1:12" s="3" customFormat="1" x14ac:dyDescent="0.2">
      <c r="A23" s="3" t="s">
        <v>784</v>
      </c>
      <c r="B23" s="3" t="s">
        <v>59</v>
      </c>
      <c r="C23" s="3" t="s">
        <v>119</v>
      </c>
      <c r="D23" s="3" t="s">
        <v>785</v>
      </c>
      <c r="E23" s="3" t="s">
        <v>54</v>
      </c>
      <c r="F23" s="3" t="s">
        <v>47</v>
      </c>
      <c r="G23" s="3" t="s">
        <v>63</v>
      </c>
      <c r="H23" s="3" t="s">
        <v>19</v>
      </c>
      <c r="I23" s="3" t="s">
        <v>122</v>
      </c>
      <c r="J23" s="3" t="s">
        <v>786</v>
      </c>
      <c r="K23" s="3">
        <f>MIN(25,ROUNDUP(J23/12,0))</f>
        <v>1</v>
      </c>
      <c r="L23" s="3">
        <f>C23-K23</f>
        <v>10</v>
      </c>
    </row>
    <row r="24" spans="1:12" x14ac:dyDescent="0.2">
      <c r="A24" s="2" t="s">
        <v>873</v>
      </c>
      <c r="B24" s="2" t="s">
        <v>80</v>
      </c>
      <c r="C24" s="2" t="s">
        <v>56</v>
      </c>
      <c r="D24" s="2" t="s">
        <v>874</v>
      </c>
      <c r="E24" s="2" t="s">
        <v>62</v>
      </c>
      <c r="F24" s="2" t="s">
        <v>26</v>
      </c>
      <c r="G24" s="2" t="s">
        <v>83</v>
      </c>
      <c r="H24" s="2" t="s">
        <v>19</v>
      </c>
      <c r="I24" s="2" t="s">
        <v>342</v>
      </c>
      <c r="J24" s="2" t="s">
        <v>875</v>
      </c>
      <c r="K24" s="2">
        <f>MIN(25,ROUNDUP(J24/12,0))</f>
        <v>12</v>
      </c>
      <c r="L24" s="2">
        <f>C24-K24</f>
        <v>10</v>
      </c>
    </row>
    <row r="25" spans="1:12" s="3" customFormat="1" x14ac:dyDescent="0.2">
      <c r="A25" s="3" t="s">
        <v>210</v>
      </c>
      <c r="B25" s="3" t="s">
        <v>44</v>
      </c>
      <c r="C25" s="3" t="s">
        <v>52</v>
      </c>
      <c r="D25" s="3" t="s">
        <v>211</v>
      </c>
      <c r="E25" s="3" t="s">
        <v>54</v>
      </c>
      <c r="F25" s="3" t="s">
        <v>47</v>
      </c>
      <c r="G25" s="3" t="s">
        <v>48</v>
      </c>
      <c r="H25" s="3" t="s">
        <v>19</v>
      </c>
      <c r="I25" s="3" t="s">
        <v>56</v>
      </c>
      <c r="J25" s="3" t="s">
        <v>212</v>
      </c>
      <c r="K25" s="3">
        <f>MIN(25,ROUNDUP(J25/12,0))</f>
        <v>11</v>
      </c>
      <c r="L25" s="3">
        <f>C25-K25</f>
        <v>9</v>
      </c>
    </row>
    <row r="26" spans="1:12" x14ac:dyDescent="0.2">
      <c r="A26" s="2" t="s">
        <v>719</v>
      </c>
      <c r="B26" s="2" t="s">
        <v>23</v>
      </c>
      <c r="C26" s="2" t="s">
        <v>52</v>
      </c>
      <c r="D26" s="2" t="s">
        <v>720</v>
      </c>
      <c r="E26" s="2" t="s">
        <v>70</v>
      </c>
      <c r="F26" s="2" t="s">
        <v>47</v>
      </c>
      <c r="G26" s="2" t="s">
        <v>27</v>
      </c>
      <c r="H26" s="2" t="s">
        <v>19</v>
      </c>
      <c r="I26" s="2" t="s">
        <v>56</v>
      </c>
      <c r="J26" s="2" t="s">
        <v>721</v>
      </c>
      <c r="K26" s="2">
        <f>MIN(25,ROUNDUP(J26/12,0))</f>
        <v>11</v>
      </c>
      <c r="L26" s="2">
        <f>C26-K26</f>
        <v>9</v>
      </c>
    </row>
    <row r="27" spans="1:12" s="3" customFormat="1" x14ac:dyDescent="0.2">
      <c r="A27" s="3" t="s">
        <v>128</v>
      </c>
      <c r="B27" s="3" t="s">
        <v>129</v>
      </c>
      <c r="C27" s="3" t="s">
        <v>130</v>
      </c>
      <c r="D27" s="3" t="s">
        <v>131</v>
      </c>
      <c r="E27" s="3" t="s">
        <v>132</v>
      </c>
      <c r="F27" s="3" t="s">
        <v>133</v>
      </c>
      <c r="G27" s="3" t="s">
        <v>134</v>
      </c>
      <c r="H27" s="3" t="s">
        <v>19</v>
      </c>
      <c r="I27" s="3" t="s">
        <v>125</v>
      </c>
      <c r="J27" s="3" t="s">
        <v>135</v>
      </c>
      <c r="K27" s="3">
        <f>MIN(25,ROUNDUP(J27/12,0))</f>
        <v>2</v>
      </c>
      <c r="L27" s="3">
        <f>C27-K27</f>
        <v>8</v>
      </c>
    </row>
    <row r="28" spans="1:12" s="3" customFormat="1" x14ac:dyDescent="0.2">
      <c r="A28" s="3" t="s">
        <v>228</v>
      </c>
      <c r="B28" s="3" t="s">
        <v>44</v>
      </c>
      <c r="C28" s="3" t="s">
        <v>52</v>
      </c>
      <c r="D28" s="3" t="s">
        <v>229</v>
      </c>
      <c r="E28" s="3" t="s">
        <v>177</v>
      </c>
      <c r="F28" s="3" t="s">
        <v>47</v>
      </c>
      <c r="G28" s="3" t="s">
        <v>48</v>
      </c>
      <c r="H28" s="3" t="s">
        <v>19</v>
      </c>
      <c r="I28" s="3" t="s">
        <v>56</v>
      </c>
      <c r="J28" s="3" t="s">
        <v>230</v>
      </c>
      <c r="K28" s="3">
        <f>MIN(25,ROUNDUP(J28/12,0))</f>
        <v>12</v>
      </c>
      <c r="L28" s="3">
        <f>C28-K28</f>
        <v>8</v>
      </c>
    </row>
    <row r="29" spans="1:12" s="3" customFormat="1" x14ac:dyDescent="0.2">
      <c r="A29" s="3" t="s">
        <v>276</v>
      </c>
      <c r="B29" s="3" t="s">
        <v>23</v>
      </c>
      <c r="C29" s="3" t="s">
        <v>31</v>
      </c>
      <c r="D29" s="3" t="s">
        <v>277</v>
      </c>
      <c r="E29" s="3" t="s">
        <v>70</v>
      </c>
      <c r="F29" s="3" t="s">
        <v>17</v>
      </c>
      <c r="G29" s="3" t="s">
        <v>27</v>
      </c>
      <c r="H29" s="3" t="s">
        <v>19</v>
      </c>
      <c r="I29" s="3" t="s">
        <v>35</v>
      </c>
      <c r="J29" s="3" t="s">
        <v>278</v>
      </c>
      <c r="K29" s="3">
        <f>MIN(25,ROUNDUP(J29/12,0))</f>
        <v>9</v>
      </c>
      <c r="L29" s="3">
        <f>C29-K29</f>
        <v>8</v>
      </c>
    </row>
    <row r="30" spans="1:12" s="3" customFormat="1" x14ac:dyDescent="0.2">
      <c r="A30" s="3" t="s">
        <v>279</v>
      </c>
      <c r="B30" s="3" t="s">
        <v>101</v>
      </c>
      <c r="C30" s="3" t="s">
        <v>125</v>
      </c>
      <c r="D30" s="3" t="s">
        <v>280</v>
      </c>
      <c r="E30" s="3" t="s">
        <v>91</v>
      </c>
      <c r="F30" s="3" t="s">
        <v>133</v>
      </c>
      <c r="G30" s="3" t="s">
        <v>104</v>
      </c>
      <c r="H30" s="3" t="s">
        <v>19</v>
      </c>
      <c r="I30" s="3" t="s">
        <v>68</v>
      </c>
      <c r="J30" s="3" t="s">
        <v>281</v>
      </c>
      <c r="K30" s="3">
        <f>MIN(25,ROUNDUP(J30/12,0))</f>
        <v>4</v>
      </c>
      <c r="L30" s="3">
        <f>C30-K30</f>
        <v>8</v>
      </c>
    </row>
    <row r="31" spans="1:12" x14ac:dyDescent="0.2">
      <c r="A31" s="2" t="s">
        <v>807</v>
      </c>
      <c r="B31" s="2" t="s">
        <v>23</v>
      </c>
      <c r="C31" s="2" t="s">
        <v>75</v>
      </c>
      <c r="D31" s="2" t="s">
        <v>808</v>
      </c>
      <c r="E31" s="2" t="s">
        <v>70</v>
      </c>
      <c r="F31" s="2" t="s">
        <v>92</v>
      </c>
      <c r="G31" s="2" t="s">
        <v>27</v>
      </c>
      <c r="H31" s="2" t="s">
        <v>19</v>
      </c>
      <c r="I31" s="2" t="s">
        <v>31</v>
      </c>
      <c r="J31" s="2" t="s">
        <v>809</v>
      </c>
      <c r="K31" s="2">
        <f>MIN(25,ROUNDUP(J31/12,0))</f>
        <v>7</v>
      </c>
      <c r="L31" s="2">
        <f>C31-K31</f>
        <v>8</v>
      </c>
    </row>
    <row r="32" spans="1:12" s="3" customFormat="1" x14ac:dyDescent="0.2">
      <c r="A32" s="3" t="s">
        <v>166</v>
      </c>
      <c r="B32" s="3" t="s">
        <v>129</v>
      </c>
      <c r="C32" s="3" t="s">
        <v>49</v>
      </c>
      <c r="D32" s="3" t="s">
        <v>167</v>
      </c>
      <c r="E32" s="3" t="s">
        <v>168</v>
      </c>
      <c r="F32" s="3" t="s">
        <v>26</v>
      </c>
      <c r="G32" s="3" t="s">
        <v>134</v>
      </c>
      <c r="H32" s="3" t="s">
        <v>19</v>
      </c>
      <c r="I32" s="3" t="s">
        <v>130</v>
      </c>
      <c r="J32" s="3" t="s">
        <v>169</v>
      </c>
      <c r="K32" s="3">
        <f>MIN(25,ROUNDUP(J32/12,0))</f>
        <v>1</v>
      </c>
      <c r="L32" s="3">
        <f>C32-K32</f>
        <v>7</v>
      </c>
    </row>
    <row r="33" spans="1:12" s="3" customFormat="1" x14ac:dyDescent="0.2">
      <c r="A33" s="3" t="s">
        <v>282</v>
      </c>
      <c r="B33" s="3" t="s">
        <v>114</v>
      </c>
      <c r="C33" s="3" t="s">
        <v>68</v>
      </c>
      <c r="D33" s="3" t="s">
        <v>283</v>
      </c>
      <c r="E33" s="3" t="s">
        <v>284</v>
      </c>
      <c r="F33" s="3" t="s">
        <v>17</v>
      </c>
      <c r="G33" s="3" t="s">
        <v>116</v>
      </c>
      <c r="H33" s="3" t="s">
        <v>19</v>
      </c>
      <c r="I33" s="3" t="s">
        <v>60</v>
      </c>
      <c r="J33" s="3" t="s">
        <v>285</v>
      </c>
      <c r="K33" s="3">
        <f>MIN(25,ROUNDUP(J33/12,0))</f>
        <v>7</v>
      </c>
      <c r="L33" s="3">
        <f>C33-K33</f>
        <v>7</v>
      </c>
    </row>
    <row r="34" spans="1:12" s="3" customFormat="1" x14ac:dyDescent="0.2">
      <c r="A34" s="3" t="s">
        <v>153</v>
      </c>
      <c r="B34" s="3" t="s">
        <v>80</v>
      </c>
      <c r="C34" s="3" t="s">
        <v>35</v>
      </c>
      <c r="D34" s="3" t="s">
        <v>154</v>
      </c>
      <c r="E34" s="3" t="s">
        <v>155</v>
      </c>
      <c r="F34" s="3" t="s">
        <v>47</v>
      </c>
      <c r="G34" s="3" t="s">
        <v>83</v>
      </c>
      <c r="H34" s="3" t="s">
        <v>19</v>
      </c>
      <c r="I34" s="3" t="s">
        <v>14</v>
      </c>
      <c r="J34" s="3" t="s">
        <v>156</v>
      </c>
      <c r="K34" s="3">
        <f>MIN(25,ROUNDUP(J34/12,0))</f>
        <v>13</v>
      </c>
      <c r="L34" s="3">
        <f>C34-K34</f>
        <v>6</v>
      </c>
    </row>
    <row r="35" spans="1:12" x14ac:dyDescent="0.2">
      <c r="A35" s="2" t="s">
        <v>340</v>
      </c>
      <c r="B35" s="2" t="s">
        <v>74</v>
      </c>
      <c r="C35" s="2" t="s">
        <v>56</v>
      </c>
      <c r="D35" s="2" t="s">
        <v>341</v>
      </c>
      <c r="E35" s="2" t="s">
        <v>172</v>
      </c>
      <c r="F35" s="2" t="s">
        <v>160</v>
      </c>
      <c r="G35" s="2" t="s">
        <v>77</v>
      </c>
      <c r="H35" s="2" t="s">
        <v>19</v>
      </c>
      <c r="I35" s="2" t="s">
        <v>342</v>
      </c>
      <c r="J35" s="2" t="s">
        <v>343</v>
      </c>
      <c r="K35" s="2">
        <f>MIN(25,ROUNDUP(J35/12,0))</f>
        <v>16</v>
      </c>
      <c r="L35" s="2">
        <f>C35-K35</f>
        <v>6</v>
      </c>
    </row>
    <row r="36" spans="1:12" x14ac:dyDescent="0.2">
      <c r="A36" s="2" t="s">
        <v>355</v>
      </c>
      <c r="B36" s="2" t="s">
        <v>80</v>
      </c>
      <c r="C36" s="2" t="s">
        <v>68</v>
      </c>
      <c r="D36" s="2" t="s">
        <v>356</v>
      </c>
      <c r="E36" s="2" t="s">
        <v>25</v>
      </c>
      <c r="F36" s="2" t="s">
        <v>26</v>
      </c>
      <c r="G36" s="2" t="s">
        <v>83</v>
      </c>
      <c r="H36" s="2" t="s">
        <v>19</v>
      </c>
      <c r="I36" s="2" t="s">
        <v>60</v>
      </c>
      <c r="J36" s="2" t="s">
        <v>357</v>
      </c>
      <c r="K36" s="2">
        <f>MIN(25,ROUNDUP(J36/12,0))</f>
        <v>8</v>
      </c>
      <c r="L36" s="2">
        <f>C36-K36</f>
        <v>6</v>
      </c>
    </row>
    <row r="37" spans="1:12" s="3" customFormat="1" x14ac:dyDescent="0.2">
      <c r="A37" s="3" t="s">
        <v>380</v>
      </c>
      <c r="B37" s="3" t="s">
        <v>30</v>
      </c>
      <c r="C37" s="3" t="s">
        <v>119</v>
      </c>
      <c r="D37" s="3" t="s">
        <v>381</v>
      </c>
      <c r="E37" s="3" t="s">
        <v>97</v>
      </c>
      <c r="F37" s="3" t="s">
        <v>47</v>
      </c>
      <c r="G37" s="3" t="s">
        <v>34</v>
      </c>
      <c r="H37" s="3" t="s">
        <v>19</v>
      </c>
      <c r="I37" s="3" t="s">
        <v>122</v>
      </c>
      <c r="J37" s="3" t="s">
        <v>382</v>
      </c>
      <c r="K37" s="3">
        <f>MIN(25,ROUNDUP(J37/12,0))</f>
        <v>5</v>
      </c>
      <c r="L37" s="3">
        <f>C37-K37</f>
        <v>6</v>
      </c>
    </row>
    <row r="38" spans="1:12" s="3" customFormat="1" x14ac:dyDescent="0.2">
      <c r="A38" s="3" t="s">
        <v>490</v>
      </c>
      <c r="B38" s="3" t="s">
        <v>80</v>
      </c>
      <c r="C38" s="3" t="s">
        <v>14</v>
      </c>
      <c r="D38" s="3" t="s">
        <v>491</v>
      </c>
      <c r="E38" s="3" t="s">
        <v>335</v>
      </c>
      <c r="F38" s="3" t="s">
        <v>485</v>
      </c>
      <c r="G38" s="3" t="s">
        <v>83</v>
      </c>
      <c r="H38" s="3" t="s">
        <v>19</v>
      </c>
      <c r="I38" s="3" t="s">
        <v>20</v>
      </c>
      <c r="J38" s="3" t="s">
        <v>492</v>
      </c>
      <c r="K38" s="3">
        <f>MIN(25,ROUNDUP(J38/12,0))</f>
        <v>15</v>
      </c>
      <c r="L38" s="3">
        <f>C38-K38</f>
        <v>6</v>
      </c>
    </row>
    <row r="39" spans="1:12" x14ac:dyDescent="0.2">
      <c r="A39" s="2" t="s">
        <v>810</v>
      </c>
      <c r="B39" s="2" t="s">
        <v>67</v>
      </c>
      <c r="C39" s="2" t="s">
        <v>125</v>
      </c>
      <c r="D39" s="2" t="s">
        <v>811</v>
      </c>
      <c r="E39" s="2" t="s">
        <v>243</v>
      </c>
      <c r="F39" s="2" t="s">
        <v>26</v>
      </c>
      <c r="G39" s="2" t="s">
        <v>71</v>
      </c>
      <c r="H39" s="2" t="s">
        <v>19</v>
      </c>
      <c r="I39" s="2" t="s">
        <v>68</v>
      </c>
      <c r="J39" s="2" t="s">
        <v>209</v>
      </c>
      <c r="K39" s="2">
        <f>MIN(25,ROUNDUP(J39/12,0))</f>
        <v>6</v>
      </c>
      <c r="L39" s="2">
        <f>C39-K39</f>
        <v>6</v>
      </c>
    </row>
    <row r="40" spans="1:12" x14ac:dyDescent="0.2">
      <c r="A40" s="2" t="s">
        <v>888</v>
      </c>
      <c r="B40" s="2" t="s">
        <v>23</v>
      </c>
      <c r="C40" s="2" t="s">
        <v>119</v>
      </c>
      <c r="D40" s="2" t="s">
        <v>889</v>
      </c>
      <c r="E40" s="2" t="s">
        <v>254</v>
      </c>
      <c r="F40" s="2" t="s">
        <v>455</v>
      </c>
      <c r="G40" s="2" t="s">
        <v>27</v>
      </c>
      <c r="H40" s="2" t="s">
        <v>19</v>
      </c>
      <c r="I40" s="2" t="s">
        <v>122</v>
      </c>
      <c r="J40" s="2" t="s">
        <v>890</v>
      </c>
      <c r="K40" s="2">
        <f>MIN(25,ROUNDUP(J40/12,0))</f>
        <v>5</v>
      </c>
      <c r="L40" s="2">
        <f>C40-K40</f>
        <v>6</v>
      </c>
    </row>
    <row r="41" spans="1:12" s="3" customFormat="1" x14ac:dyDescent="0.2">
      <c r="A41" s="3" t="s">
        <v>241</v>
      </c>
      <c r="B41" s="3" t="s">
        <v>101</v>
      </c>
      <c r="C41" s="3" t="s">
        <v>52</v>
      </c>
      <c r="D41" s="3" t="s">
        <v>242</v>
      </c>
      <c r="E41" s="3" t="s">
        <v>243</v>
      </c>
      <c r="F41" s="3" t="s">
        <v>244</v>
      </c>
      <c r="G41" s="3" t="s">
        <v>104</v>
      </c>
      <c r="H41" s="3" t="s">
        <v>19</v>
      </c>
      <c r="I41" s="3" t="s">
        <v>56</v>
      </c>
      <c r="J41" s="3" t="s">
        <v>245</v>
      </c>
      <c r="K41" s="3">
        <f>MIN(25,ROUNDUP(J41/12,0))</f>
        <v>15</v>
      </c>
      <c r="L41" s="3">
        <f>C41-K41</f>
        <v>5</v>
      </c>
    </row>
    <row r="42" spans="1:12" s="3" customFormat="1" x14ac:dyDescent="0.2">
      <c r="A42" s="3" t="s">
        <v>249</v>
      </c>
      <c r="B42" s="3" t="s">
        <v>13</v>
      </c>
      <c r="C42" s="3" t="s">
        <v>119</v>
      </c>
      <c r="D42" s="3" t="s">
        <v>250</v>
      </c>
      <c r="E42" s="3" t="s">
        <v>70</v>
      </c>
      <c r="F42" s="3" t="s">
        <v>223</v>
      </c>
      <c r="G42" s="3" t="s">
        <v>18</v>
      </c>
      <c r="H42" s="3" t="s">
        <v>19</v>
      </c>
      <c r="I42" s="3" t="s">
        <v>122</v>
      </c>
      <c r="J42" s="3" t="s">
        <v>251</v>
      </c>
      <c r="K42" s="3">
        <f>MIN(25,ROUNDUP(J42/12,0))</f>
        <v>6</v>
      </c>
      <c r="L42" s="3">
        <f>C42-K42</f>
        <v>5</v>
      </c>
    </row>
    <row r="43" spans="1:12" x14ac:dyDescent="0.2">
      <c r="A43" s="2" t="s">
        <v>618</v>
      </c>
      <c r="B43" s="2" t="s">
        <v>59</v>
      </c>
      <c r="C43" s="2" t="s">
        <v>56</v>
      </c>
      <c r="D43" s="2" t="s">
        <v>619</v>
      </c>
      <c r="E43" s="2" t="s">
        <v>97</v>
      </c>
      <c r="F43" s="2" t="s">
        <v>223</v>
      </c>
      <c r="G43" s="2" t="s">
        <v>63</v>
      </c>
      <c r="H43" s="2" t="s">
        <v>19</v>
      </c>
      <c r="I43" s="2" t="s">
        <v>342</v>
      </c>
      <c r="J43" s="2" t="s">
        <v>620</v>
      </c>
      <c r="K43" s="2">
        <f>MIN(25,ROUNDUP(J43/12,0))</f>
        <v>17</v>
      </c>
      <c r="L43" s="2">
        <f>C43-K43</f>
        <v>5</v>
      </c>
    </row>
    <row r="44" spans="1:12" x14ac:dyDescent="0.2">
      <c r="A44" s="2" t="s">
        <v>626</v>
      </c>
      <c r="B44" s="2" t="s">
        <v>101</v>
      </c>
      <c r="C44" s="2" t="s">
        <v>68</v>
      </c>
      <c r="D44" s="2" t="s">
        <v>627</v>
      </c>
      <c r="E44" s="2" t="s">
        <v>87</v>
      </c>
      <c r="F44" s="2" t="s">
        <v>47</v>
      </c>
      <c r="G44" s="2" t="s">
        <v>104</v>
      </c>
      <c r="H44" s="2" t="s">
        <v>19</v>
      </c>
      <c r="I44" s="2" t="s">
        <v>60</v>
      </c>
      <c r="J44" s="2" t="s">
        <v>628</v>
      </c>
      <c r="K44" s="2">
        <f>MIN(25,ROUNDUP(J44/12,0))</f>
        <v>9</v>
      </c>
      <c r="L44" s="2">
        <f>C44-K44</f>
        <v>5</v>
      </c>
    </row>
    <row r="45" spans="1:12" s="3" customFormat="1" x14ac:dyDescent="0.2">
      <c r="A45" s="3" t="s">
        <v>675</v>
      </c>
      <c r="B45" s="3" t="s">
        <v>30</v>
      </c>
      <c r="C45" s="3" t="s">
        <v>75</v>
      </c>
      <c r="D45" s="3" t="s">
        <v>676</v>
      </c>
      <c r="E45" s="3" t="s">
        <v>40</v>
      </c>
      <c r="F45" s="3" t="s">
        <v>47</v>
      </c>
      <c r="G45" s="3" t="s">
        <v>34</v>
      </c>
      <c r="H45" s="3" t="s">
        <v>19</v>
      </c>
      <c r="I45" s="3" t="s">
        <v>31</v>
      </c>
      <c r="J45" s="3" t="s">
        <v>677</v>
      </c>
      <c r="K45" s="3">
        <f>MIN(25,ROUNDUP(J45/12,0))</f>
        <v>10</v>
      </c>
      <c r="L45" s="3">
        <f>C45-K45</f>
        <v>5</v>
      </c>
    </row>
    <row r="46" spans="1:12" s="3" customFormat="1" x14ac:dyDescent="0.2">
      <c r="A46" s="3" t="s">
        <v>835</v>
      </c>
      <c r="B46" s="3" t="s">
        <v>67</v>
      </c>
      <c r="C46" s="3">
        <f>MIN(25,IF(K46&lt;=11,12,K46+2))</f>
        <v>12</v>
      </c>
      <c r="D46" s="3" t="s">
        <v>836</v>
      </c>
      <c r="E46" s="3" t="s">
        <v>16</v>
      </c>
      <c r="F46" s="3" t="s">
        <v>92</v>
      </c>
      <c r="G46" s="3" t="s">
        <v>71</v>
      </c>
      <c r="H46" s="3" t="s">
        <v>215</v>
      </c>
      <c r="J46" s="3" t="s">
        <v>837</v>
      </c>
      <c r="K46" s="3">
        <f>MIN(25,ROUNDUP(J46/12,0))</f>
        <v>7</v>
      </c>
      <c r="L46" s="3">
        <f>C46-K46</f>
        <v>5</v>
      </c>
    </row>
    <row r="47" spans="1:12" s="3" customFormat="1" x14ac:dyDescent="0.2">
      <c r="A47" s="3" t="s">
        <v>124</v>
      </c>
      <c r="B47" s="3" t="s">
        <v>59</v>
      </c>
      <c r="C47" s="3" t="s">
        <v>125</v>
      </c>
      <c r="D47" s="3" t="s">
        <v>126</v>
      </c>
      <c r="E47" s="3" t="s">
        <v>103</v>
      </c>
      <c r="F47" s="3" t="s">
        <v>82</v>
      </c>
      <c r="G47" s="3" t="s">
        <v>63</v>
      </c>
      <c r="H47" s="3" t="s">
        <v>19</v>
      </c>
      <c r="I47" s="3" t="s">
        <v>68</v>
      </c>
      <c r="J47" s="3" t="s">
        <v>127</v>
      </c>
      <c r="K47" s="3">
        <f>MIN(25,ROUNDUP(J47/12,0))</f>
        <v>8</v>
      </c>
      <c r="L47" s="3">
        <f>C47-K47</f>
        <v>4</v>
      </c>
    </row>
    <row r="48" spans="1:12" s="3" customFormat="1" x14ac:dyDescent="0.2">
      <c r="A48" s="3" t="s">
        <v>206</v>
      </c>
      <c r="B48" s="3" t="s">
        <v>114</v>
      </c>
      <c r="C48" s="3" t="s">
        <v>130</v>
      </c>
      <c r="D48" s="3" t="s">
        <v>207</v>
      </c>
      <c r="E48" s="3" t="s">
        <v>208</v>
      </c>
      <c r="F48" s="3" t="s">
        <v>160</v>
      </c>
      <c r="G48" s="3" t="s">
        <v>116</v>
      </c>
      <c r="H48" s="3" t="s">
        <v>19</v>
      </c>
      <c r="I48" s="3" t="s">
        <v>125</v>
      </c>
      <c r="J48" s="3" t="s">
        <v>209</v>
      </c>
      <c r="K48" s="3">
        <f>MIN(25,ROUNDUP(J48/12,0))</f>
        <v>6</v>
      </c>
      <c r="L48" s="3">
        <f>C48-K48</f>
        <v>4</v>
      </c>
    </row>
    <row r="49" spans="1:12" x14ac:dyDescent="0.2">
      <c r="A49" s="2" t="s">
        <v>260</v>
      </c>
      <c r="B49" s="2" t="s">
        <v>74</v>
      </c>
      <c r="C49" s="2" t="s">
        <v>189</v>
      </c>
      <c r="D49" s="2" t="s">
        <v>261</v>
      </c>
      <c r="E49" s="2" t="s">
        <v>177</v>
      </c>
      <c r="F49" s="2" t="s">
        <v>47</v>
      </c>
      <c r="G49" s="2" t="s">
        <v>77</v>
      </c>
      <c r="H49" s="2" t="s">
        <v>19</v>
      </c>
      <c r="I49" s="2" t="s">
        <v>119</v>
      </c>
      <c r="J49" s="2" t="s">
        <v>262</v>
      </c>
      <c r="K49" s="2">
        <f>MIN(25,ROUNDUP(J49/12,0))</f>
        <v>5</v>
      </c>
      <c r="L49" s="2">
        <f>C49-K49</f>
        <v>4</v>
      </c>
    </row>
    <row r="50" spans="1:12" x14ac:dyDescent="0.2">
      <c r="A50" s="2" t="s">
        <v>263</v>
      </c>
      <c r="B50" s="2" t="s">
        <v>74</v>
      </c>
      <c r="C50" s="2" t="s">
        <v>31</v>
      </c>
      <c r="D50" s="2" t="s">
        <v>264</v>
      </c>
      <c r="E50" s="2" t="s">
        <v>243</v>
      </c>
      <c r="F50" s="2" t="s">
        <v>160</v>
      </c>
      <c r="G50" s="2" t="s">
        <v>77</v>
      </c>
      <c r="H50" s="2" t="s">
        <v>19</v>
      </c>
      <c r="I50" s="2" t="s">
        <v>35</v>
      </c>
      <c r="J50" s="2" t="s">
        <v>265</v>
      </c>
      <c r="K50" s="2">
        <f>MIN(25,ROUNDUP(J50/12,0))</f>
        <v>13</v>
      </c>
      <c r="L50" s="2">
        <f>C50-K50</f>
        <v>4</v>
      </c>
    </row>
    <row r="51" spans="1:12" x14ac:dyDescent="0.2">
      <c r="A51" s="2" t="s">
        <v>452</v>
      </c>
      <c r="B51" s="2" t="s">
        <v>67</v>
      </c>
      <c r="C51" s="2">
        <f>MIN(25,IF(K51&lt;=11,12,K51+2))</f>
        <v>12</v>
      </c>
      <c r="D51" s="2" t="s">
        <v>453</v>
      </c>
      <c r="E51" s="2" t="s">
        <v>454</v>
      </c>
      <c r="F51" s="2" t="s">
        <v>455</v>
      </c>
      <c r="G51" s="2" t="s">
        <v>71</v>
      </c>
      <c r="H51" s="2" t="s">
        <v>215</v>
      </c>
      <c r="J51" s="2" t="s">
        <v>456</v>
      </c>
      <c r="K51" s="2">
        <f>MIN(25,ROUNDUP(J51/12,0))</f>
        <v>8</v>
      </c>
      <c r="L51" s="2">
        <f>C51-K51</f>
        <v>4</v>
      </c>
    </row>
    <row r="52" spans="1:12" x14ac:dyDescent="0.2">
      <c r="A52" s="2" t="s">
        <v>477</v>
      </c>
      <c r="B52" s="2" t="s">
        <v>67</v>
      </c>
      <c r="C52" s="2" t="s">
        <v>125</v>
      </c>
      <c r="D52" s="2" t="s">
        <v>478</v>
      </c>
      <c r="E52" s="2" t="s">
        <v>243</v>
      </c>
      <c r="F52" s="2" t="s">
        <v>181</v>
      </c>
      <c r="G52" s="2" t="s">
        <v>71</v>
      </c>
      <c r="H52" s="2" t="s">
        <v>19</v>
      </c>
      <c r="I52" s="2" t="s">
        <v>68</v>
      </c>
      <c r="J52" s="2" t="s">
        <v>479</v>
      </c>
      <c r="K52" s="2">
        <f>MIN(25,ROUNDUP(J52/12,0))</f>
        <v>8</v>
      </c>
      <c r="L52" s="2">
        <f>C52-K52</f>
        <v>4</v>
      </c>
    </row>
    <row r="53" spans="1:12" s="3" customFormat="1" x14ac:dyDescent="0.2">
      <c r="A53" s="3" t="s">
        <v>778</v>
      </c>
      <c r="B53" s="3" t="s">
        <v>44</v>
      </c>
      <c r="C53" s="3" t="s">
        <v>60</v>
      </c>
      <c r="D53" s="3" t="s">
        <v>779</v>
      </c>
      <c r="E53" s="3" t="s">
        <v>62</v>
      </c>
      <c r="F53" s="3" t="s">
        <v>223</v>
      </c>
      <c r="G53" s="3" t="s">
        <v>48</v>
      </c>
      <c r="H53" s="3" t="s">
        <v>19</v>
      </c>
      <c r="I53" s="3" t="s">
        <v>64</v>
      </c>
      <c r="J53" s="3" t="s">
        <v>780</v>
      </c>
      <c r="K53" s="3">
        <f>MIN(25,ROUNDUP(J53/12,0))</f>
        <v>12</v>
      </c>
      <c r="L53" s="3">
        <f>C53-K53</f>
        <v>4</v>
      </c>
    </row>
    <row r="54" spans="1:12" x14ac:dyDescent="0.2">
      <c r="A54" s="2" t="s">
        <v>823</v>
      </c>
      <c r="B54" s="2" t="s">
        <v>67</v>
      </c>
      <c r="C54" s="2">
        <f>MIN(25,IF(K54&lt;=11,12,K54+2))</f>
        <v>12</v>
      </c>
      <c r="D54" s="2" t="s">
        <v>824</v>
      </c>
      <c r="E54" s="2" t="s">
        <v>62</v>
      </c>
      <c r="F54" s="2" t="s">
        <v>47</v>
      </c>
      <c r="G54" s="2" t="s">
        <v>71</v>
      </c>
      <c r="H54" s="2" t="s">
        <v>215</v>
      </c>
      <c r="J54" s="2" t="s">
        <v>825</v>
      </c>
      <c r="K54" s="2">
        <f>MIN(25,ROUNDUP(J54/12,0))</f>
        <v>8</v>
      </c>
      <c r="L54" s="2">
        <f>C54-K54</f>
        <v>4</v>
      </c>
    </row>
    <row r="55" spans="1:12" x14ac:dyDescent="0.2">
      <c r="A55" s="2" t="s">
        <v>934</v>
      </c>
      <c r="B55" s="2" t="s">
        <v>44</v>
      </c>
      <c r="C55" s="2">
        <f>MIN(25,IF(K55&lt;=11,12,K55+2))</f>
        <v>12</v>
      </c>
      <c r="D55" s="2" t="s">
        <v>935</v>
      </c>
      <c r="E55" s="2" t="s">
        <v>194</v>
      </c>
      <c r="F55" s="2" t="s">
        <v>160</v>
      </c>
      <c r="G55" s="2" t="s">
        <v>48</v>
      </c>
      <c r="H55" s="2" t="s">
        <v>215</v>
      </c>
      <c r="J55" s="2" t="s">
        <v>936</v>
      </c>
      <c r="K55" s="2">
        <f>MIN(25,ROUNDUP(J55/12,0))</f>
        <v>8</v>
      </c>
      <c r="L55" s="2">
        <f>C55-K55</f>
        <v>4</v>
      </c>
    </row>
    <row r="56" spans="1:12" x14ac:dyDescent="0.2">
      <c r="A56" s="2" t="s">
        <v>43</v>
      </c>
      <c r="B56" s="2" t="s">
        <v>44</v>
      </c>
      <c r="C56" s="2" t="s">
        <v>41</v>
      </c>
      <c r="D56" s="2" t="s">
        <v>45</v>
      </c>
      <c r="E56" s="2" t="s">
        <v>46</v>
      </c>
      <c r="F56" s="2" t="s">
        <v>47</v>
      </c>
      <c r="G56" s="2" t="s">
        <v>48</v>
      </c>
      <c r="H56" s="2" t="s">
        <v>19</v>
      </c>
      <c r="I56" s="2" t="s">
        <v>49</v>
      </c>
      <c r="J56" s="2" t="s">
        <v>50</v>
      </c>
      <c r="K56" s="2">
        <f>MIN(25,ROUNDUP(J56/12,0))</f>
        <v>3</v>
      </c>
      <c r="L56" s="2">
        <f>C56-K56</f>
        <v>3</v>
      </c>
    </row>
    <row r="57" spans="1:12" s="3" customFormat="1" x14ac:dyDescent="0.2">
      <c r="A57" s="3" t="s">
        <v>238</v>
      </c>
      <c r="B57" s="3" t="s">
        <v>95</v>
      </c>
      <c r="C57" s="3" t="s">
        <v>130</v>
      </c>
      <c r="D57" s="3" t="s">
        <v>239</v>
      </c>
      <c r="E57" s="3" t="s">
        <v>151</v>
      </c>
      <c r="F57" s="3" t="s">
        <v>47</v>
      </c>
      <c r="G57" s="3" t="s">
        <v>98</v>
      </c>
      <c r="H57" s="3" t="s">
        <v>19</v>
      </c>
      <c r="I57" s="3" t="s">
        <v>125</v>
      </c>
      <c r="J57" s="3" t="s">
        <v>240</v>
      </c>
      <c r="K57" s="3">
        <f>MIN(25,ROUNDUP(J57/12,0))</f>
        <v>7</v>
      </c>
      <c r="L57" s="3">
        <f>C57-K57</f>
        <v>3</v>
      </c>
    </row>
    <row r="58" spans="1:12" x14ac:dyDescent="0.2">
      <c r="A58" s="2" t="s">
        <v>815</v>
      </c>
      <c r="B58" s="2" t="s">
        <v>101</v>
      </c>
      <c r="C58" s="2">
        <f>MIN(25,IF(K58&lt;=11,12,K58+2))</f>
        <v>12</v>
      </c>
      <c r="D58" s="2" t="s">
        <v>816</v>
      </c>
      <c r="E58" s="2" t="s">
        <v>33</v>
      </c>
      <c r="F58" s="2" t="s">
        <v>47</v>
      </c>
      <c r="G58" s="2" t="s">
        <v>104</v>
      </c>
      <c r="H58" s="2" t="s">
        <v>215</v>
      </c>
      <c r="J58" s="2" t="s">
        <v>628</v>
      </c>
      <c r="K58" s="2">
        <f>MIN(25,ROUNDUP(J58/12,0))</f>
        <v>9</v>
      </c>
      <c r="L58" s="2">
        <f>C58-K58</f>
        <v>3</v>
      </c>
    </row>
    <row r="59" spans="1:12" x14ac:dyDescent="0.2">
      <c r="A59" s="2" t="s">
        <v>852</v>
      </c>
      <c r="B59" s="2" t="s">
        <v>74</v>
      </c>
      <c r="C59" s="2">
        <f>MIN(25,IF(K59&lt;=11,12,K59+2))</f>
        <v>12</v>
      </c>
      <c r="D59" s="2" t="s">
        <v>853</v>
      </c>
      <c r="E59" s="2" t="s">
        <v>208</v>
      </c>
      <c r="F59" s="2" t="s">
        <v>26</v>
      </c>
      <c r="G59" s="2" t="s">
        <v>77</v>
      </c>
      <c r="H59" s="2" t="s">
        <v>215</v>
      </c>
      <c r="J59" s="2" t="s">
        <v>28</v>
      </c>
      <c r="K59" s="2">
        <f>MIN(25,ROUNDUP(J59/12,0))</f>
        <v>9</v>
      </c>
      <c r="L59" s="2">
        <f>C59-K59</f>
        <v>3</v>
      </c>
    </row>
    <row r="60" spans="1:12" x14ac:dyDescent="0.2">
      <c r="A60" s="2" t="s">
        <v>884</v>
      </c>
      <c r="B60" s="2" t="s">
        <v>59</v>
      </c>
      <c r="C60" s="2">
        <f>MIN(25,IF(K60&lt;=11,12,K60+2))</f>
        <v>12</v>
      </c>
      <c r="D60" s="2" t="s">
        <v>885</v>
      </c>
      <c r="E60" s="2" t="s">
        <v>33</v>
      </c>
      <c r="F60" s="2" t="s">
        <v>886</v>
      </c>
      <c r="G60" s="2" t="s">
        <v>63</v>
      </c>
      <c r="H60" s="2" t="s">
        <v>215</v>
      </c>
      <c r="J60" s="2" t="s">
        <v>887</v>
      </c>
      <c r="K60" s="2">
        <f>MIN(25,ROUNDUP(J60/12,0))</f>
        <v>9</v>
      </c>
      <c r="L60" s="2">
        <f>C60-K60</f>
        <v>3</v>
      </c>
    </row>
    <row r="61" spans="1:12" x14ac:dyDescent="0.2">
      <c r="A61" s="2" t="s">
        <v>994</v>
      </c>
      <c r="B61" s="2" t="s">
        <v>95</v>
      </c>
      <c r="C61" s="2" t="s">
        <v>189</v>
      </c>
      <c r="D61" s="2" t="s">
        <v>995</v>
      </c>
      <c r="E61" s="2" t="s">
        <v>454</v>
      </c>
      <c r="F61" s="2" t="s">
        <v>455</v>
      </c>
      <c r="G61" s="2" t="s">
        <v>98</v>
      </c>
      <c r="H61" s="2" t="s">
        <v>19</v>
      </c>
      <c r="I61" s="2" t="s">
        <v>119</v>
      </c>
      <c r="J61" s="2" t="s">
        <v>996</v>
      </c>
      <c r="K61" s="2">
        <f>MIN(25,ROUNDUP(J61/12,0))</f>
        <v>6</v>
      </c>
      <c r="L61" s="2">
        <f>C61-K61</f>
        <v>3</v>
      </c>
    </row>
    <row r="62" spans="1:12" x14ac:dyDescent="0.2">
      <c r="A62" s="2" t="s">
        <v>175</v>
      </c>
      <c r="B62" s="2" t="s">
        <v>67</v>
      </c>
      <c r="C62" s="2" t="s">
        <v>125</v>
      </c>
      <c r="D62" s="2" t="s">
        <v>176</v>
      </c>
      <c r="E62" s="2" t="s">
        <v>177</v>
      </c>
      <c r="F62" s="2" t="s">
        <v>133</v>
      </c>
      <c r="G62" s="2" t="s">
        <v>71</v>
      </c>
      <c r="H62" s="2" t="s">
        <v>19</v>
      </c>
      <c r="I62" s="2" t="s">
        <v>68</v>
      </c>
      <c r="J62" s="2" t="s">
        <v>178</v>
      </c>
      <c r="K62" s="2">
        <f>MIN(25,ROUNDUP(J62/12,0))</f>
        <v>10</v>
      </c>
      <c r="L62" s="2">
        <f>C62-K62</f>
        <v>2</v>
      </c>
    </row>
    <row r="63" spans="1:12" x14ac:dyDescent="0.2">
      <c r="A63" s="2" t="s">
        <v>199</v>
      </c>
      <c r="B63" s="2" t="s">
        <v>23</v>
      </c>
      <c r="C63" s="2" t="s">
        <v>49</v>
      </c>
      <c r="D63" s="2" t="s">
        <v>200</v>
      </c>
      <c r="E63" s="2" t="s">
        <v>201</v>
      </c>
      <c r="F63" s="2" t="s">
        <v>47</v>
      </c>
      <c r="G63" s="2" t="s">
        <v>27</v>
      </c>
      <c r="H63" s="2" t="s">
        <v>19</v>
      </c>
      <c r="I63" s="2" t="s">
        <v>130</v>
      </c>
      <c r="J63" s="2" t="s">
        <v>202</v>
      </c>
      <c r="K63" s="2">
        <f>MIN(25,ROUNDUP(J63/12,0))</f>
        <v>6</v>
      </c>
      <c r="L63" s="2">
        <f>C63-K63</f>
        <v>2</v>
      </c>
    </row>
    <row r="64" spans="1:12" x14ac:dyDescent="0.2">
      <c r="A64" s="2" t="s">
        <v>350</v>
      </c>
      <c r="B64" s="2" t="s">
        <v>74</v>
      </c>
      <c r="C64" s="2">
        <f>MIN(25,IF(K64&lt;=11,12,K64+2))</f>
        <v>19</v>
      </c>
      <c r="D64" s="2" t="s">
        <v>351</v>
      </c>
      <c r="E64" s="2" t="s">
        <v>172</v>
      </c>
      <c r="F64" s="2" t="s">
        <v>47</v>
      </c>
      <c r="G64" s="2" t="s">
        <v>77</v>
      </c>
      <c r="H64" s="2" t="s">
        <v>215</v>
      </c>
      <c r="J64" s="2" t="s">
        <v>352</v>
      </c>
      <c r="K64" s="2">
        <f>MIN(25,ROUNDUP(J64/12,0))</f>
        <v>17</v>
      </c>
      <c r="L64" s="2">
        <f>C64-K64</f>
        <v>2</v>
      </c>
    </row>
    <row r="65" spans="1:12" s="3" customFormat="1" x14ac:dyDescent="0.2">
      <c r="A65" s="3" t="s">
        <v>358</v>
      </c>
      <c r="B65" s="3" t="s">
        <v>80</v>
      </c>
      <c r="C65" s="3" t="s">
        <v>38</v>
      </c>
      <c r="D65" s="3" t="s">
        <v>359</v>
      </c>
      <c r="E65" s="3" t="s">
        <v>33</v>
      </c>
      <c r="F65" s="3" t="s">
        <v>47</v>
      </c>
      <c r="G65" s="3" t="s">
        <v>83</v>
      </c>
      <c r="H65" s="3" t="s">
        <v>19</v>
      </c>
      <c r="I65" s="3" t="s">
        <v>41</v>
      </c>
      <c r="J65" s="3" t="s">
        <v>360</v>
      </c>
      <c r="K65" s="3">
        <f>MIN(25,ROUNDUP(J65/12,0))</f>
        <v>2</v>
      </c>
      <c r="L65" s="3">
        <f>C65-K65</f>
        <v>2</v>
      </c>
    </row>
    <row r="66" spans="1:12" x14ac:dyDescent="0.2">
      <c r="A66" s="2" t="s">
        <v>468</v>
      </c>
      <c r="B66" s="2" t="s">
        <v>67</v>
      </c>
      <c r="C66" s="2">
        <f>MIN(25,IF(K66&lt;=11,12,K66+2))</f>
        <v>22</v>
      </c>
      <c r="D66" s="2" t="s">
        <v>469</v>
      </c>
      <c r="E66" s="2" t="s">
        <v>254</v>
      </c>
      <c r="F66" s="2" t="s">
        <v>82</v>
      </c>
      <c r="G66" s="2" t="s">
        <v>71</v>
      </c>
      <c r="H66" s="2" t="s">
        <v>215</v>
      </c>
      <c r="J66" s="2" t="s">
        <v>470</v>
      </c>
      <c r="K66" s="2">
        <f>MIN(25,ROUNDUP(J66/12,0))</f>
        <v>20</v>
      </c>
      <c r="L66" s="2">
        <f>C66-K66</f>
        <v>2</v>
      </c>
    </row>
    <row r="67" spans="1:12" x14ac:dyDescent="0.2">
      <c r="A67" s="2" t="s">
        <v>474</v>
      </c>
      <c r="B67" s="2" t="s">
        <v>30</v>
      </c>
      <c r="C67" s="2">
        <f>MIN(25,IF(K67&lt;=11,12,K67+2))</f>
        <v>18</v>
      </c>
      <c r="D67" s="2" t="s">
        <v>475</v>
      </c>
      <c r="E67" s="2" t="s">
        <v>177</v>
      </c>
      <c r="F67" s="2" t="s">
        <v>92</v>
      </c>
      <c r="G67" s="2" t="s">
        <v>34</v>
      </c>
      <c r="H67" s="2" t="s">
        <v>215</v>
      </c>
      <c r="J67" s="2" t="s">
        <v>476</v>
      </c>
      <c r="K67" s="2">
        <f>MIN(25,ROUNDUP(J67/12,0))</f>
        <v>16</v>
      </c>
      <c r="L67" s="2">
        <f>C67-K67</f>
        <v>2</v>
      </c>
    </row>
    <row r="68" spans="1:12" x14ac:dyDescent="0.2">
      <c r="A68" s="2" t="s">
        <v>499</v>
      </c>
      <c r="B68" s="2" t="s">
        <v>44</v>
      </c>
      <c r="C68" s="2">
        <f>MIN(25,IF(K68&lt;=11,12,K68+2))</f>
        <v>20</v>
      </c>
      <c r="D68" s="2" t="s">
        <v>500</v>
      </c>
      <c r="E68" s="2" t="s">
        <v>151</v>
      </c>
      <c r="F68" s="2" t="s">
        <v>47</v>
      </c>
      <c r="G68" s="2" t="s">
        <v>48</v>
      </c>
      <c r="H68" s="2" t="s">
        <v>215</v>
      </c>
      <c r="J68" s="2" t="s">
        <v>501</v>
      </c>
      <c r="K68" s="2">
        <f>MIN(25,ROUNDUP(J68/12,0))</f>
        <v>18</v>
      </c>
      <c r="L68" s="2">
        <f>C68-K68</f>
        <v>2</v>
      </c>
    </row>
    <row r="69" spans="1:12" x14ac:dyDescent="0.2">
      <c r="A69" s="2" t="s">
        <v>709</v>
      </c>
      <c r="B69" s="2" t="s">
        <v>101</v>
      </c>
      <c r="C69" s="2" t="s">
        <v>122</v>
      </c>
      <c r="D69" s="2" t="s">
        <v>710</v>
      </c>
      <c r="E69" s="2" t="s">
        <v>121</v>
      </c>
      <c r="F69" s="2" t="s">
        <v>310</v>
      </c>
      <c r="G69" s="2" t="s">
        <v>104</v>
      </c>
      <c r="H69" s="2" t="s">
        <v>19</v>
      </c>
      <c r="I69" s="2" t="s">
        <v>75</v>
      </c>
      <c r="J69" s="2" t="s">
        <v>711</v>
      </c>
      <c r="K69" s="2">
        <f>MIN(25,ROUNDUP(J69/12,0))</f>
        <v>11</v>
      </c>
      <c r="L69" s="2">
        <f>C69-K69</f>
        <v>2</v>
      </c>
    </row>
    <row r="70" spans="1:12" x14ac:dyDescent="0.2">
      <c r="A70" s="2" t="s">
        <v>751</v>
      </c>
      <c r="B70" s="2" t="s">
        <v>74</v>
      </c>
      <c r="C70" s="2" t="s">
        <v>68</v>
      </c>
      <c r="D70" s="2" t="s">
        <v>752</v>
      </c>
      <c r="E70" s="2" t="s">
        <v>168</v>
      </c>
      <c r="F70" s="2" t="s">
        <v>47</v>
      </c>
      <c r="G70" s="2" t="s">
        <v>77</v>
      </c>
      <c r="H70" s="2" t="s">
        <v>19</v>
      </c>
      <c r="I70" s="2" t="s">
        <v>60</v>
      </c>
      <c r="J70" s="2" t="s">
        <v>587</v>
      </c>
      <c r="K70" s="2">
        <f>MIN(25,ROUNDUP(J70/12,0))</f>
        <v>12</v>
      </c>
      <c r="L70" s="2">
        <f>C70-K70</f>
        <v>2</v>
      </c>
    </row>
    <row r="71" spans="1:12" x14ac:dyDescent="0.2">
      <c r="A71" s="2" t="s">
        <v>757</v>
      </c>
      <c r="B71" s="2" t="s">
        <v>13</v>
      </c>
      <c r="C71" s="2">
        <f>MIN(25,IF(K71&lt;=11,12,K71+2))</f>
        <v>22</v>
      </c>
      <c r="D71" s="2" t="s">
        <v>758</v>
      </c>
      <c r="E71" s="2" t="s">
        <v>155</v>
      </c>
      <c r="F71" s="2" t="s">
        <v>92</v>
      </c>
      <c r="G71" s="2" t="s">
        <v>18</v>
      </c>
      <c r="H71" s="2" t="s">
        <v>215</v>
      </c>
      <c r="J71" s="2" t="s">
        <v>759</v>
      </c>
      <c r="K71" s="2">
        <f>MIN(25,ROUNDUP(J71/12,0))</f>
        <v>20</v>
      </c>
      <c r="L71" s="2">
        <f>C71-K71</f>
        <v>2</v>
      </c>
    </row>
    <row r="72" spans="1:12" x14ac:dyDescent="0.2">
      <c r="A72" s="2" t="s">
        <v>801</v>
      </c>
      <c r="B72" s="2" t="s">
        <v>67</v>
      </c>
      <c r="C72" s="2">
        <f>MIN(25,IF(K72&lt;=11,12,K72+2))</f>
        <v>23</v>
      </c>
      <c r="D72" s="2" t="s">
        <v>802</v>
      </c>
      <c r="E72" s="2" t="s">
        <v>177</v>
      </c>
      <c r="F72" s="2" t="s">
        <v>82</v>
      </c>
      <c r="G72" s="2" t="s">
        <v>71</v>
      </c>
      <c r="H72" s="2" t="s">
        <v>215</v>
      </c>
      <c r="J72" s="2" t="s">
        <v>803</v>
      </c>
      <c r="K72" s="2">
        <f>MIN(25,ROUNDUP(J72/12,0))</f>
        <v>21</v>
      </c>
      <c r="L72" s="2">
        <f>C72-K72</f>
        <v>2</v>
      </c>
    </row>
    <row r="73" spans="1:12" x14ac:dyDescent="0.2">
      <c r="A73" s="2" t="s">
        <v>812</v>
      </c>
      <c r="B73" s="2" t="s">
        <v>30</v>
      </c>
      <c r="C73" s="2">
        <f>MIN(25,IF(K73&lt;=11,12,K73+2))</f>
        <v>24</v>
      </c>
      <c r="D73" s="2" t="s">
        <v>813</v>
      </c>
      <c r="E73" s="2" t="s">
        <v>288</v>
      </c>
      <c r="F73" s="2" t="s">
        <v>92</v>
      </c>
      <c r="G73" s="2" t="s">
        <v>34</v>
      </c>
      <c r="H73" s="2" t="s">
        <v>215</v>
      </c>
      <c r="J73" s="2" t="s">
        <v>814</v>
      </c>
      <c r="K73" s="2">
        <f>MIN(25,ROUNDUP(J73/12,0))</f>
        <v>22</v>
      </c>
      <c r="L73" s="2">
        <f>C73-K73</f>
        <v>2</v>
      </c>
    </row>
    <row r="74" spans="1:12" x14ac:dyDescent="0.2">
      <c r="A74" s="2" t="s">
        <v>820</v>
      </c>
      <c r="B74" s="2" t="s">
        <v>80</v>
      </c>
      <c r="C74" s="2">
        <f>MIN(25,IF(K74&lt;=11,12,K74+2))</f>
        <v>21</v>
      </c>
      <c r="D74" s="2" t="s">
        <v>821</v>
      </c>
      <c r="E74" s="2" t="s">
        <v>172</v>
      </c>
      <c r="F74" s="2" t="s">
        <v>47</v>
      </c>
      <c r="G74" s="2" t="s">
        <v>83</v>
      </c>
      <c r="H74" s="2" t="s">
        <v>215</v>
      </c>
      <c r="J74" s="2" t="s">
        <v>822</v>
      </c>
      <c r="K74" s="2">
        <f>MIN(25,ROUNDUP(J74/12,0))</f>
        <v>19</v>
      </c>
      <c r="L74" s="2">
        <f>C74-K74</f>
        <v>2</v>
      </c>
    </row>
    <row r="75" spans="1:12" x14ac:dyDescent="0.2">
      <c r="A75" s="2" t="s">
        <v>832</v>
      </c>
      <c r="B75" s="2" t="s">
        <v>95</v>
      </c>
      <c r="C75" s="2">
        <f>MIN(25,IF(K75&lt;=11,12,K75+2))</f>
        <v>22</v>
      </c>
      <c r="D75" s="2" t="s">
        <v>833</v>
      </c>
      <c r="E75" s="2" t="s">
        <v>70</v>
      </c>
      <c r="F75" s="2" t="s">
        <v>92</v>
      </c>
      <c r="G75" s="2" t="s">
        <v>98</v>
      </c>
      <c r="H75" s="2" t="s">
        <v>215</v>
      </c>
      <c r="J75" s="2" t="s">
        <v>834</v>
      </c>
      <c r="K75" s="2">
        <f>MIN(25,ROUNDUP(J75/12,0))</f>
        <v>20</v>
      </c>
      <c r="L75" s="2">
        <f>C75-K75</f>
        <v>2</v>
      </c>
    </row>
    <row r="76" spans="1:12" x14ac:dyDescent="0.2">
      <c r="A76" s="2" t="s">
        <v>860</v>
      </c>
      <c r="B76" s="2" t="s">
        <v>129</v>
      </c>
      <c r="C76" s="2">
        <f>MIN(25,IF(K76&lt;=11,12,K76+2))</f>
        <v>21</v>
      </c>
      <c r="D76" s="2" t="s">
        <v>861</v>
      </c>
      <c r="E76" s="2" t="s">
        <v>284</v>
      </c>
      <c r="F76" s="2" t="s">
        <v>92</v>
      </c>
      <c r="G76" s="2" t="s">
        <v>134</v>
      </c>
      <c r="H76" s="2" t="s">
        <v>215</v>
      </c>
      <c r="J76" s="2" t="s">
        <v>862</v>
      </c>
      <c r="K76" s="2">
        <f>MIN(25,ROUNDUP(J76/12,0))</f>
        <v>19</v>
      </c>
      <c r="L76" s="2">
        <f>C76-K76</f>
        <v>2</v>
      </c>
    </row>
    <row r="77" spans="1:12" x14ac:dyDescent="0.2">
      <c r="A77" s="2" t="s">
        <v>870</v>
      </c>
      <c r="B77" s="2" t="s">
        <v>30</v>
      </c>
      <c r="C77" s="2">
        <f>MIN(25,IF(K77&lt;=11,12,K77+2))</f>
        <v>23</v>
      </c>
      <c r="D77" s="2" t="s">
        <v>871</v>
      </c>
      <c r="E77" s="2" t="s">
        <v>25</v>
      </c>
      <c r="F77" s="2" t="s">
        <v>47</v>
      </c>
      <c r="G77" s="2" t="s">
        <v>34</v>
      </c>
      <c r="H77" s="2" t="s">
        <v>215</v>
      </c>
      <c r="J77" s="2" t="s">
        <v>872</v>
      </c>
      <c r="K77" s="2">
        <f>MIN(25,ROUNDUP(J77/12,0))</f>
        <v>21</v>
      </c>
      <c r="L77" s="2">
        <f>C77-K77</f>
        <v>2</v>
      </c>
    </row>
    <row r="78" spans="1:12" x14ac:dyDescent="0.2">
      <c r="A78" s="2" t="s">
        <v>891</v>
      </c>
      <c r="B78" s="2" t="s">
        <v>30</v>
      </c>
      <c r="C78" s="2">
        <f>MIN(25,IF(K78&lt;=11,12,K78+2))</f>
        <v>17</v>
      </c>
      <c r="D78" s="2" t="s">
        <v>892</v>
      </c>
      <c r="E78" s="2" t="s">
        <v>236</v>
      </c>
      <c r="F78" s="2" t="s">
        <v>47</v>
      </c>
      <c r="G78" s="2" t="s">
        <v>34</v>
      </c>
      <c r="H78" s="2" t="s">
        <v>215</v>
      </c>
      <c r="J78" s="2" t="s">
        <v>893</v>
      </c>
      <c r="K78" s="2">
        <f>MIN(25,ROUNDUP(J78/12,0))</f>
        <v>15</v>
      </c>
      <c r="L78" s="2">
        <f>C78-K78</f>
        <v>2</v>
      </c>
    </row>
    <row r="79" spans="1:12" x14ac:dyDescent="0.2">
      <c r="A79" s="2" t="s">
        <v>900</v>
      </c>
      <c r="B79" s="2" t="s">
        <v>114</v>
      </c>
      <c r="C79" s="2">
        <f>MIN(25,IF(K79&lt;=11,12,K79+2))</f>
        <v>18</v>
      </c>
      <c r="D79" s="2" t="s">
        <v>901</v>
      </c>
      <c r="E79" s="2" t="s">
        <v>54</v>
      </c>
      <c r="F79" s="2" t="s">
        <v>47</v>
      </c>
      <c r="G79" s="2" t="s">
        <v>116</v>
      </c>
      <c r="H79" s="2" t="s">
        <v>215</v>
      </c>
      <c r="J79" s="2" t="s">
        <v>902</v>
      </c>
      <c r="K79" s="2">
        <f>MIN(25,ROUNDUP(J79/12,0))</f>
        <v>16</v>
      </c>
      <c r="L79" s="2">
        <f>C79-K79</f>
        <v>2</v>
      </c>
    </row>
    <row r="80" spans="1:12" x14ac:dyDescent="0.2">
      <c r="A80" s="2" t="s">
        <v>908</v>
      </c>
      <c r="B80" s="2" t="s">
        <v>80</v>
      </c>
      <c r="C80" s="2">
        <f>MIN(25,IF(K80&lt;=11,12,K80+2))</f>
        <v>18</v>
      </c>
      <c r="D80" s="2" t="s">
        <v>909</v>
      </c>
      <c r="E80" s="2" t="s">
        <v>40</v>
      </c>
      <c r="F80" s="2" t="s">
        <v>173</v>
      </c>
      <c r="G80" s="2" t="s">
        <v>83</v>
      </c>
      <c r="H80" s="2" t="s">
        <v>215</v>
      </c>
      <c r="J80" s="2" t="s">
        <v>910</v>
      </c>
      <c r="K80" s="2">
        <f>MIN(25,ROUNDUP(J80/12,0))</f>
        <v>16</v>
      </c>
      <c r="L80" s="2">
        <f>C80-K80</f>
        <v>2</v>
      </c>
    </row>
    <row r="81" spans="1:12" x14ac:dyDescent="0.2">
      <c r="A81" s="2" t="s">
        <v>913</v>
      </c>
      <c r="B81" s="2" t="s">
        <v>101</v>
      </c>
      <c r="C81" s="2">
        <f>MIN(25,IF(K81&lt;=11,12,K81+2))</f>
        <v>14</v>
      </c>
      <c r="D81" s="2" t="s">
        <v>914</v>
      </c>
      <c r="E81" s="2" t="s">
        <v>40</v>
      </c>
      <c r="F81" s="2" t="s">
        <v>915</v>
      </c>
      <c r="G81" s="2" t="s">
        <v>104</v>
      </c>
      <c r="H81" s="2" t="s">
        <v>215</v>
      </c>
      <c r="J81" s="2" t="s">
        <v>916</v>
      </c>
      <c r="K81" s="2">
        <f>MIN(25,ROUNDUP(J81/12,0))</f>
        <v>12</v>
      </c>
      <c r="L81" s="2">
        <f>C81-K81</f>
        <v>2</v>
      </c>
    </row>
    <row r="82" spans="1:12" x14ac:dyDescent="0.2">
      <c r="A82" s="2" t="s">
        <v>917</v>
      </c>
      <c r="B82" s="2" t="s">
        <v>30</v>
      </c>
      <c r="C82" s="2">
        <f>MIN(25,IF(K82&lt;=11,12,K82+2))</f>
        <v>21</v>
      </c>
      <c r="D82" s="2" t="s">
        <v>918</v>
      </c>
      <c r="E82" s="2" t="s">
        <v>111</v>
      </c>
      <c r="F82" s="2" t="s">
        <v>919</v>
      </c>
      <c r="G82" s="2" t="s">
        <v>34</v>
      </c>
      <c r="H82" s="2" t="s">
        <v>215</v>
      </c>
      <c r="J82" s="2" t="s">
        <v>650</v>
      </c>
      <c r="K82" s="2">
        <f>MIN(25,ROUNDUP(J82/12,0))</f>
        <v>19</v>
      </c>
      <c r="L82" s="2">
        <f>C82-K82</f>
        <v>2</v>
      </c>
    </row>
    <row r="83" spans="1:12" x14ac:dyDescent="0.2">
      <c r="A83" s="2" t="s">
        <v>925</v>
      </c>
      <c r="B83" s="2" t="s">
        <v>44</v>
      </c>
      <c r="C83" s="2" t="s">
        <v>130</v>
      </c>
      <c r="D83" s="2" t="s">
        <v>926</v>
      </c>
      <c r="E83" s="2" t="s">
        <v>25</v>
      </c>
      <c r="F83" s="2" t="s">
        <v>133</v>
      </c>
      <c r="G83" s="2" t="s">
        <v>48</v>
      </c>
      <c r="H83" s="2" t="s">
        <v>19</v>
      </c>
      <c r="I83" s="2" t="s">
        <v>125</v>
      </c>
      <c r="J83" s="2" t="s">
        <v>927</v>
      </c>
      <c r="K83" s="2">
        <f>MIN(25,ROUNDUP(J83/12,0))</f>
        <v>8</v>
      </c>
      <c r="L83" s="2">
        <f>C83-K83</f>
        <v>2</v>
      </c>
    </row>
    <row r="84" spans="1:12" x14ac:dyDescent="0.2">
      <c r="A84" s="2" t="s">
        <v>937</v>
      </c>
      <c r="B84" s="2" t="s">
        <v>30</v>
      </c>
      <c r="C84" s="2">
        <f>MIN(25,IF(K84&lt;=11,12,K84+2))</f>
        <v>15</v>
      </c>
      <c r="D84" s="2" t="s">
        <v>938</v>
      </c>
      <c r="E84" s="2" t="s">
        <v>177</v>
      </c>
      <c r="F84" s="2" t="s">
        <v>55</v>
      </c>
      <c r="G84" s="2" t="s">
        <v>34</v>
      </c>
      <c r="H84" s="2" t="s">
        <v>215</v>
      </c>
      <c r="J84" s="2" t="s">
        <v>636</v>
      </c>
      <c r="K84" s="2">
        <f>MIN(25,ROUNDUP(J84/12,0))</f>
        <v>13</v>
      </c>
      <c r="L84" s="2">
        <f>C84-K84</f>
        <v>2</v>
      </c>
    </row>
    <row r="85" spans="1:12" x14ac:dyDescent="0.2">
      <c r="A85" s="2" t="s">
        <v>939</v>
      </c>
      <c r="B85" s="2" t="s">
        <v>30</v>
      </c>
      <c r="C85" s="2">
        <f>MIN(25,IF(K85&lt;=11,12,K85+2))</f>
        <v>23</v>
      </c>
      <c r="D85" s="2" t="s">
        <v>940</v>
      </c>
      <c r="E85" s="2" t="s">
        <v>254</v>
      </c>
      <c r="F85" s="2" t="s">
        <v>47</v>
      </c>
      <c r="G85" s="2" t="s">
        <v>34</v>
      </c>
      <c r="H85" s="2" t="s">
        <v>215</v>
      </c>
      <c r="J85" s="2" t="s">
        <v>941</v>
      </c>
      <c r="K85" s="2">
        <f>MIN(25,ROUNDUP(J85/12,0))</f>
        <v>21</v>
      </c>
      <c r="L85" s="2">
        <f>C85-K85</f>
        <v>2</v>
      </c>
    </row>
    <row r="86" spans="1:12" x14ac:dyDescent="0.2">
      <c r="A86" s="2" t="s">
        <v>949</v>
      </c>
      <c r="B86" s="2" t="s">
        <v>80</v>
      </c>
      <c r="C86" s="2">
        <f>MIN(25,IF(K86&lt;=11,12,K86+2))</f>
        <v>23</v>
      </c>
      <c r="D86" s="2" t="s">
        <v>950</v>
      </c>
      <c r="E86" s="2" t="s">
        <v>454</v>
      </c>
      <c r="F86" s="2" t="s">
        <v>244</v>
      </c>
      <c r="G86" s="2" t="s">
        <v>83</v>
      </c>
      <c r="H86" s="2" t="s">
        <v>215</v>
      </c>
      <c r="J86" s="2" t="s">
        <v>951</v>
      </c>
      <c r="K86" s="2">
        <f>MIN(25,ROUNDUP(J86/12,0))</f>
        <v>21</v>
      </c>
      <c r="L86" s="2">
        <f>C86-K86</f>
        <v>2</v>
      </c>
    </row>
    <row r="87" spans="1:12" x14ac:dyDescent="0.2">
      <c r="A87" s="2" t="s">
        <v>952</v>
      </c>
      <c r="B87" s="2" t="s">
        <v>129</v>
      </c>
      <c r="C87" s="2">
        <f>MIN(25,IF(K87&lt;=11,12,K87+2))</f>
        <v>20</v>
      </c>
      <c r="D87" s="2" t="s">
        <v>953</v>
      </c>
      <c r="E87" s="2" t="s">
        <v>208</v>
      </c>
      <c r="F87" s="2" t="s">
        <v>133</v>
      </c>
      <c r="G87" s="2" t="s">
        <v>134</v>
      </c>
      <c r="H87" s="2" t="s">
        <v>215</v>
      </c>
      <c r="J87" s="2" t="s">
        <v>954</v>
      </c>
      <c r="K87" s="2">
        <f>MIN(25,ROUNDUP(J87/12,0))</f>
        <v>18</v>
      </c>
      <c r="L87" s="2">
        <f>C87-K87</f>
        <v>2</v>
      </c>
    </row>
    <row r="88" spans="1:12" x14ac:dyDescent="0.2">
      <c r="A88" s="2" t="s">
        <v>999</v>
      </c>
      <c r="B88" s="2" t="s">
        <v>129</v>
      </c>
      <c r="C88" s="2">
        <f>MIN(25,IF(K88&lt;=11,12,K88+2))</f>
        <v>19</v>
      </c>
      <c r="D88" s="2" t="s">
        <v>1000</v>
      </c>
      <c r="E88" s="2" t="s">
        <v>454</v>
      </c>
      <c r="F88" s="2" t="s">
        <v>963</v>
      </c>
      <c r="G88" s="2" t="s">
        <v>134</v>
      </c>
      <c r="H88" s="2" t="s">
        <v>215</v>
      </c>
      <c r="J88" s="2" t="s">
        <v>349</v>
      </c>
      <c r="K88" s="2">
        <f>MIN(25,ROUNDUP(J88/12,0))</f>
        <v>17</v>
      </c>
      <c r="L88" s="2">
        <f>C88-K88</f>
        <v>2</v>
      </c>
    </row>
    <row r="89" spans="1:12" x14ac:dyDescent="0.2">
      <c r="A89" s="2" t="s">
        <v>1005</v>
      </c>
      <c r="B89" s="2" t="s">
        <v>114</v>
      </c>
      <c r="C89" s="2">
        <f>MIN(25,IF(K89&lt;=11,12,K89+2))</f>
        <v>20</v>
      </c>
      <c r="D89" s="2" t="s">
        <v>1006</v>
      </c>
      <c r="E89" s="2" t="s">
        <v>201</v>
      </c>
      <c r="F89" s="2" t="s">
        <v>26</v>
      </c>
      <c r="G89" s="2" t="s">
        <v>116</v>
      </c>
      <c r="H89" s="2" t="s">
        <v>215</v>
      </c>
      <c r="J89" s="2" t="s">
        <v>1007</v>
      </c>
      <c r="K89" s="2">
        <f>MIN(25,ROUNDUP(J89/12,0))</f>
        <v>18</v>
      </c>
      <c r="L89" s="2">
        <f>C89-K89</f>
        <v>2</v>
      </c>
    </row>
    <row r="90" spans="1:12" x14ac:dyDescent="0.2">
      <c r="A90" s="2" t="s">
        <v>1011</v>
      </c>
      <c r="B90" s="2" t="s">
        <v>59</v>
      </c>
      <c r="C90" s="2">
        <f>MIN(25,IF(K90&lt;=11,12,K90+2))</f>
        <v>22</v>
      </c>
      <c r="D90" s="2" t="s">
        <v>1012</v>
      </c>
      <c r="E90" s="2" t="s">
        <v>103</v>
      </c>
      <c r="F90" s="2" t="s">
        <v>133</v>
      </c>
      <c r="G90" s="2" t="s">
        <v>63</v>
      </c>
      <c r="H90" s="2" t="s">
        <v>215</v>
      </c>
      <c r="J90" s="2" t="s">
        <v>1013</v>
      </c>
      <c r="K90" s="2">
        <f>MIN(25,ROUNDUP(J90/12,0))</f>
        <v>20</v>
      </c>
      <c r="L90" s="2">
        <f>C90-K90</f>
        <v>2</v>
      </c>
    </row>
    <row r="91" spans="1:12" x14ac:dyDescent="0.2">
      <c r="A91" s="2" t="s">
        <v>1020</v>
      </c>
      <c r="B91" s="2" t="s">
        <v>67</v>
      </c>
      <c r="C91" s="2">
        <f>MIN(25,IF(K91&lt;=11,12,K91+2))</f>
        <v>20</v>
      </c>
      <c r="D91" s="2" t="s">
        <v>1021</v>
      </c>
      <c r="E91" s="2" t="s">
        <v>335</v>
      </c>
      <c r="F91" s="2" t="s">
        <v>1022</v>
      </c>
      <c r="G91" s="2" t="s">
        <v>71</v>
      </c>
      <c r="H91" s="2" t="s">
        <v>215</v>
      </c>
      <c r="J91" s="2" t="s">
        <v>1023</v>
      </c>
      <c r="K91" s="2">
        <f>MIN(25,ROUNDUP(J91/12,0))</f>
        <v>18</v>
      </c>
      <c r="L91" s="2">
        <f>C91-K91</f>
        <v>2</v>
      </c>
    </row>
    <row r="92" spans="1:12" s="3" customFormat="1" x14ac:dyDescent="0.2">
      <c r="A92" s="3" t="s">
        <v>1026</v>
      </c>
      <c r="B92" s="3" t="s">
        <v>23</v>
      </c>
      <c r="C92" s="3">
        <f>MIN(25,IF(K92&lt;=11,12,K92+2))</f>
        <v>20</v>
      </c>
      <c r="D92" s="3" t="s">
        <v>1027</v>
      </c>
      <c r="E92" s="3" t="s">
        <v>151</v>
      </c>
      <c r="F92" s="3" t="s">
        <v>26</v>
      </c>
      <c r="G92" s="3" t="s">
        <v>27</v>
      </c>
      <c r="H92" s="3" t="s">
        <v>215</v>
      </c>
      <c r="J92" s="3" t="s">
        <v>1028</v>
      </c>
      <c r="K92" s="3">
        <f>MIN(25,ROUNDUP(J92/12,0))</f>
        <v>18</v>
      </c>
      <c r="L92" s="3">
        <f>C92-K92</f>
        <v>2</v>
      </c>
    </row>
    <row r="93" spans="1:12" x14ac:dyDescent="0.2">
      <c r="A93" s="2" t="s">
        <v>1032</v>
      </c>
      <c r="B93" s="2" t="s">
        <v>44</v>
      </c>
      <c r="C93" s="2">
        <f>MIN(25,IF(K93&lt;=11,12,K93+2))</f>
        <v>20</v>
      </c>
      <c r="D93" s="2" t="s">
        <v>1033</v>
      </c>
      <c r="E93" s="2" t="s">
        <v>132</v>
      </c>
      <c r="F93" s="2" t="s">
        <v>26</v>
      </c>
      <c r="G93" s="2" t="s">
        <v>48</v>
      </c>
      <c r="H93" s="2" t="s">
        <v>215</v>
      </c>
      <c r="J93" s="2" t="s">
        <v>1034</v>
      </c>
      <c r="K93" s="2">
        <f>MIN(25,ROUNDUP(J93/12,0))</f>
        <v>18</v>
      </c>
      <c r="L93" s="2">
        <f>C93-K93</f>
        <v>2</v>
      </c>
    </row>
    <row r="94" spans="1:12" x14ac:dyDescent="0.2">
      <c r="A94" s="2" t="s">
        <v>1040</v>
      </c>
      <c r="B94" s="2" t="s">
        <v>30</v>
      </c>
      <c r="C94" s="2">
        <f>MIN(25,IF(K94&lt;=11,12,K94+2))</f>
        <v>22</v>
      </c>
      <c r="D94" s="2" t="s">
        <v>1041</v>
      </c>
      <c r="E94" s="2" t="s">
        <v>208</v>
      </c>
      <c r="F94" s="2" t="s">
        <v>310</v>
      </c>
      <c r="G94" s="2" t="s">
        <v>34</v>
      </c>
      <c r="H94" s="2" t="s">
        <v>215</v>
      </c>
      <c r="J94" s="2" t="s">
        <v>1042</v>
      </c>
      <c r="K94" s="2">
        <f>MIN(25,ROUNDUP(J94/12,0))</f>
        <v>20</v>
      </c>
      <c r="L94" s="2">
        <f>C94-K94</f>
        <v>2</v>
      </c>
    </row>
    <row r="95" spans="1:12" x14ac:dyDescent="0.2">
      <c r="A95" s="2" t="s">
        <v>1048</v>
      </c>
      <c r="B95" s="2" t="s">
        <v>44</v>
      </c>
      <c r="C95" s="2">
        <f>MIN(25,IF(K95&lt;=11,12,K95+2))</f>
        <v>21</v>
      </c>
      <c r="D95" s="2" t="s">
        <v>1049</v>
      </c>
      <c r="E95" s="2" t="s">
        <v>111</v>
      </c>
      <c r="F95" s="2" t="s">
        <v>310</v>
      </c>
      <c r="G95" s="2" t="s">
        <v>48</v>
      </c>
      <c r="H95" s="2" t="s">
        <v>215</v>
      </c>
      <c r="J95" s="2" t="s">
        <v>1050</v>
      </c>
      <c r="K95" s="2">
        <f>MIN(25,ROUNDUP(J95/12,0))</f>
        <v>19</v>
      </c>
      <c r="L95" s="2">
        <f>C95-K95</f>
        <v>2</v>
      </c>
    </row>
    <row r="96" spans="1:12" s="3" customFormat="1" x14ac:dyDescent="0.2">
      <c r="A96" s="3" t="s">
        <v>1051</v>
      </c>
      <c r="B96" s="3" t="s">
        <v>13</v>
      </c>
      <c r="C96" s="3">
        <f>MIN(25,IF(K96&lt;=11,12,K96+2))</f>
        <v>22</v>
      </c>
      <c r="D96" s="3" t="s">
        <v>1052</v>
      </c>
      <c r="E96" s="3" t="s">
        <v>40</v>
      </c>
      <c r="F96" s="3" t="s">
        <v>160</v>
      </c>
      <c r="G96" s="3" t="s">
        <v>18</v>
      </c>
      <c r="H96" s="3" t="s">
        <v>215</v>
      </c>
      <c r="J96" s="3" t="s">
        <v>1053</v>
      </c>
      <c r="K96" s="3">
        <f>MIN(25,ROUNDUP(J96/12,0))</f>
        <v>20</v>
      </c>
      <c r="L96" s="3">
        <f>C96-K96</f>
        <v>2</v>
      </c>
    </row>
    <row r="97" spans="1:12" x14ac:dyDescent="0.2">
      <c r="A97" s="2" t="s">
        <v>1059</v>
      </c>
      <c r="B97" s="2" t="s">
        <v>114</v>
      </c>
      <c r="C97" s="2">
        <f>MIN(25,IF(K97&lt;=11,12,K97+2))</f>
        <v>18</v>
      </c>
      <c r="D97" s="2" t="s">
        <v>1060</v>
      </c>
      <c r="E97" s="2" t="s">
        <v>25</v>
      </c>
      <c r="F97" s="2" t="s">
        <v>160</v>
      </c>
      <c r="G97" s="2" t="s">
        <v>116</v>
      </c>
      <c r="H97" s="2" t="s">
        <v>215</v>
      </c>
      <c r="J97" s="2" t="s">
        <v>1061</v>
      </c>
      <c r="K97" s="2">
        <f>MIN(25,ROUNDUP(J97/12,0))</f>
        <v>16</v>
      </c>
      <c r="L97" s="2">
        <f>C97-K97</f>
        <v>2</v>
      </c>
    </row>
    <row r="98" spans="1:12" x14ac:dyDescent="0.2">
      <c r="A98" s="2" t="s">
        <v>1085</v>
      </c>
      <c r="B98" s="2" t="s">
        <v>67</v>
      </c>
      <c r="C98" s="2">
        <f>MIN(25,IF(K98&lt;=11,12,K98+2))</f>
        <v>18</v>
      </c>
      <c r="D98" s="2" t="s">
        <v>1086</v>
      </c>
      <c r="E98" s="2" t="s">
        <v>177</v>
      </c>
      <c r="F98" s="2" t="s">
        <v>26</v>
      </c>
      <c r="G98" s="2" t="s">
        <v>71</v>
      </c>
      <c r="H98" s="2" t="s">
        <v>215</v>
      </c>
      <c r="J98" s="2" t="s">
        <v>1087</v>
      </c>
      <c r="K98" s="2">
        <f>MIN(25,ROUNDUP(J98/12,0))</f>
        <v>16</v>
      </c>
      <c r="L98" s="2">
        <f>C98-K98</f>
        <v>2</v>
      </c>
    </row>
    <row r="99" spans="1:12" x14ac:dyDescent="0.2">
      <c r="A99" s="2" t="s">
        <v>170</v>
      </c>
      <c r="B99" s="2" t="s">
        <v>80</v>
      </c>
      <c r="C99" s="2" t="s">
        <v>119</v>
      </c>
      <c r="D99" s="2" t="s">
        <v>171</v>
      </c>
      <c r="E99" s="2" t="s">
        <v>172</v>
      </c>
      <c r="F99" s="2" t="s">
        <v>173</v>
      </c>
      <c r="G99" s="2" t="s">
        <v>83</v>
      </c>
      <c r="H99" s="2" t="s">
        <v>19</v>
      </c>
      <c r="I99" s="2" t="s">
        <v>122</v>
      </c>
      <c r="J99" s="2" t="s">
        <v>174</v>
      </c>
      <c r="K99" s="2">
        <f>MIN(25,ROUNDUP(J99/12,0))</f>
        <v>10</v>
      </c>
      <c r="L99" s="2">
        <f>C99-K99</f>
        <v>1</v>
      </c>
    </row>
    <row r="100" spans="1:12" s="3" customFormat="1" x14ac:dyDescent="0.2">
      <c r="A100" s="3" t="s">
        <v>231</v>
      </c>
      <c r="B100" s="3" t="s">
        <v>129</v>
      </c>
      <c r="C100" s="3" t="s">
        <v>38</v>
      </c>
      <c r="D100" s="3" t="s">
        <v>232</v>
      </c>
      <c r="E100" s="3" t="s">
        <v>201</v>
      </c>
      <c r="F100" s="3" t="s">
        <v>160</v>
      </c>
      <c r="G100" s="3" t="s">
        <v>134</v>
      </c>
      <c r="H100" s="3" t="s">
        <v>19</v>
      </c>
      <c r="I100" s="3" t="s">
        <v>41</v>
      </c>
      <c r="J100" s="3" t="s">
        <v>233</v>
      </c>
      <c r="K100" s="3">
        <f>MIN(25,ROUNDUP(J100/12,0))</f>
        <v>3</v>
      </c>
      <c r="L100" s="3">
        <f>C100-K100</f>
        <v>1</v>
      </c>
    </row>
    <row r="101" spans="1:12" x14ac:dyDescent="0.2">
      <c r="A101" s="2" t="s">
        <v>286</v>
      </c>
      <c r="B101" s="2" t="s">
        <v>95</v>
      </c>
      <c r="C101" s="2" t="s">
        <v>187</v>
      </c>
      <c r="D101" s="2" t="s">
        <v>287</v>
      </c>
      <c r="E101" s="2" t="s">
        <v>288</v>
      </c>
      <c r="F101" s="2" t="s">
        <v>160</v>
      </c>
      <c r="G101" s="2" t="s">
        <v>98</v>
      </c>
      <c r="H101" s="2" t="s">
        <v>19</v>
      </c>
      <c r="I101" s="2" t="s">
        <v>189</v>
      </c>
      <c r="J101" s="2" t="s">
        <v>289</v>
      </c>
      <c r="K101" s="2">
        <f>MIN(25,ROUNDUP(J101/12,0))</f>
        <v>6</v>
      </c>
      <c r="L101" s="2">
        <f>C101-K101</f>
        <v>1</v>
      </c>
    </row>
    <row r="102" spans="1:12" x14ac:dyDescent="0.2">
      <c r="A102" s="2" t="s">
        <v>290</v>
      </c>
      <c r="B102" s="2" t="s">
        <v>80</v>
      </c>
      <c r="C102" s="2" t="s">
        <v>31</v>
      </c>
      <c r="D102" s="2" t="s">
        <v>291</v>
      </c>
      <c r="E102" s="2" t="s">
        <v>254</v>
      </c>
      <c r="F102" s="2" t="s">
        <v>47</v>
      </c>
      <c r="G102" s="2" t="s">
        <v>83</v>
      </c>
      <c r="H102" s="2" t="s">
        <v>19</v>
      </c>
      <c r="I102" s="2" t="s">
        <v>35</v>
      </c>
      <c r="J102" s="2" t="s">
        <v>292</v>
      </c>
      <c r="K102" s="2">
        <f>MIN(25,ROUNDUP(J102/12,0))</f>
        <v>16</v>
      </c>
      <c r="L102" s="2">
        <f>C102-K102</f>
        <v>1</v>
      </c>
    </row>
    <row r="103" spans="1:12" x14ac:dyDescent="0.2">
      <c r="A103" s="2" t="s">
        <v>315</v>
      </c>
      <c r="B103" s="2" t="s">
        <v>129</v>
      </c>
      <c r="C103" s="2" t="s">
        <v>189</v>
      </c>
      <c r="D103" s="2" t="s">
        <v>316</v>
      </c>
      <c r="E103" s="2" t="s">
        <v>121</v>
      </c>
      <c r="F103" s="2" t="s">
        <v>17</v>
      </c>
      <c r="G103" s="2" t="s">
        <v>134</v>
      </c>
      <c r="H103" s="2" t="s">
        <v>19</v>
      </c>
      <c r="I103" s="2" t="s">
        <v>119</v>
      </c>
      <c r="J103" s="2" t="s">
        <v>317</v>
      </c>
      <c r="K103" s="2">
        <f>MIN(25,ROUNDUP(J103/12,0))</f>
        <v>8</v>
      </c>
      <c r="L103" s="2">
        <f>C103-K103</f>
        <v>1</v>
      </c>
    </row>
    <row r="104" spans="1:12" x14ac:dyDescent="0.2">
      <c r="A104" s="2" t="s">
        <v>330</v>
      </c>
      <c r="B104" s="2" t="s">
        <v>59</v>
      </c>
      <c r="C104" s="2">
        <f>MIN(25,IF(K104&lt;=11,12,K104+2))</f>
        <v>12</v>
      </c>
      <c r="D104" s="2" t="s">
        <v>331</v>
      </c>
      <c r="E104" s="2" t="s">
        <v>284</v>
      </c>
      <c r="F104" s="2" t="s">
        <v>160</v>
      </c>
      <c r="G104" s="2" t="s">
        <v>63</v>
      </c>
      <c r="H104" s="2" t="s">
        <v>215</v>
      </c>
      <c r="J104" s="2" t="s">
        <v>332</v>
      </c>
      <c r="K104" s="2">
        <f>MIN(25,ROUNDUP(J104/12,0))</f>
        <v>11</v>
      </c>
      <c r="L104" s="2">
        <f>C104-K104</f>
        <v>1</v>
      </c>
    </row>
    <row r="105" spans="1:12" s="3" customFormat="1" x14ac:dyDescent="0.2">
      <c r="A105" s="3" t="s">
        <v>344</v>
      </c>
      <c r="B105" s="3" t="s">
        <v>74</v>
      </c>
      <c r="C105" s="3" t="s">
        <v>192</v>
      </c>
      <c r="D105" s="3" t="s">
        <v>345</v>
      </c>
      <c r="E105" s="3" t="s">
        <v>177</v>
      </c>
      <c r="F105" s="3" t="s">
        <v>310</v>
      </c>
      <c r="G105" s="3" t="s">
        <v>77</v>
      </c>
      <c r="H105" s="3" t="s">
        <v>19</v>
      </c>
      <c r="I105" s="3" t="s">
        <v>38</v>
      </c>
      <c r="J105" s="3" t="s">
        <v>346</v>
      </c>
      <c r="K105" s="3">
        <f>MIN(25,ROUNDUP(J105/12,0))</f>
        <v>1</v>
      </c>
      <c r="L105" s="3">
        <f>C105-K105</f>
        <v>1</v>
      </c>
    </row>
    <row r="106" spans="1:12" x14ac:dyDescent="0.2">
      <c r="A106" s="2" t="s">
        <v>457</v>
      </c>
      <c r="B106" s="2" t="s">
        <v>13</v>
      </c>
      <c r="C106" s="2">
        <f>MIN(25,IF(K106&lt;=11,12,K106+2))</f>
        <v>25</v>
      </c>
      <c r="D106" s="2" t="s">
        <v>458</v>
      </c>
      <c r="E106" s="2" t="s">
        <v>97</v>
      </c>
      <c r="F106" s="2" t="s">
        <v>444</v>
      </c>
      <c r="G106" s="2" t="s">
        <v>18</v>
      </c>
      <c r="H106" s="2" t="s">
        <v>215</v>
      </c>
      <c r="J106" s="2" t="s">
        <v>459</v>
      </c>
      <c r="K106" s="2">
        <f>MIN(25,ROUNDUP(J106/12,0))</f>
        <v>24</v>
      </c>
      <c r="L106" s="2">
        <f>C106-K106</f>
        <v>1</v>
      </c>
    </row>
    <row r="107" spans="1:12" x14ac:dyDescent="0.2">
      <c r="A107" s="2" t="s">
        <v>727</v>
      </c>
      <c r="B107" s="2" t="s">
        <v>95</v>
      </c>
      <c r="C107" s="2">
        <f>MIN(25,IF(K107&lt;=11,12,K107+2))</f>
        <v>12</v>
      </c>
      <c r="D107" s="2" t="s">
        <v>728</v>
      </c>
      <c r="E107" s="2" t="s">
        <v>40</v>
      </c>
      <c r="F107" s="2" t="s">
        <v>47</v>
      </c>
      <c r="G107" s="2" t="s">
        <v>98</v>
      </c>
      <c r="H107" s="2" t="s">
        <v>215</v>
      </c>
      <c r="J107" s="2" t="s">
        <v>729</v>
      </c>
      <c r="K107" s="2">
        <f>MIN(25,ROUNDUP(J107/12,0))</f>
        <v>11</v>
      </c>
      <c r="L107" s="2">
        <f>C107-K107</f>
        <v>1</v>
      </c>
    </row>
    <row r="108" spans="1:12" x14ac:dyDescent="0.2">
      <c r="A108" s="2" t="s">
        <v>844</v>
      </c>
      <c r="B108" s="2" t="s">
        <v>80</v>
      </c>
      <c r="C108" s="2">
        <f>MIN(25,IF(K108&lt;=11,12,K108+2))</f>
        <v>25</v>
      </c>
      <c r="D108" s="2" t="s">
        <v>845</v>
      </c>
      <c r="E108" s="2" t="s">
        <v>87</v>
      </c>
      <c r="F108" s="2" t="s">
        <v>92</v>
      </c>
      <c r="G108" s="2" t="s">
        <v>83</v>
      </c>
      <c r="H108" s="2" t="s">
        <v>215</v>
      </c>
      <c r="J108" s="2" t="s">
        <v>846</v>
      </c>
      <c r="K108" s="2">
        <f>MIN(25,ROUNDUP(J108/12,0))</f>
        <v>24</v>
      </c>
      <c r="L108" s="2">
        <f>C108-K108</f>
        <v>1</v>
      </c>
    </row>
    <row r="109" spans="1:12" x14ac:dyDescent="0.2">
      <c r="A109" s="2" t="s">
        <v>847</v>
      </c>
      <c r="B109" s="2" t="s">
        <v>101</v>
      </c>
      <c r="C109" s="2">
        <f>MIN(25,IF(K109&lt;=11,12,K109+2))</f>
        <v>25</v>
      </c>
      <c r="D109" s="2" t="s">
        <v>848</v>
      </c>
      <c r="E109" s="2" t="s">
        <v>97</v>
      </c>
      <c r="F109" s="2" t="s">
        <v>92</v>
      </c>
      <c r="G109" s="2" t="s">
        <v>104</v>
      </c>
      <c r="H109" s="2" t="s">
        <v>215</v>
      </c>
      <c r="J109" s="2" t="s">
        <v>849</v>
      </c>
      <c r="K109" s="2">
        <f>MIN(25,ROUNDUP(J109/12,0))</f>
        <v>24</v>
      </c>
      <c r="L109" s="2">
        <f>C109-K109</f>
        <v>1</v>
      </c>
    </row>
    <row r="110" spans="1:12" x14ac:dyDescent="0.2">
      <c r="A110" s="2" t="s">
        <v>854</v>
      </c>
      <c r="B110" s="2" t="s">
        <v>101</v>
      </c>
      <c r="C110" s="2">
        <f>MIN(25,IF(K110&lt;=11,12,K110+2))</f>
        <v>25</v>
      </c>
      <c r="D110" s="2" t="s">
        <v>855</v>
      </c>
      <c r="E110" s="2" t="s">
        <v>201</v>
      </c>
      <c r="F110" s="2" t="s">
        <v>92</v>
      </c>
      <c r="G110" s="2" t="s">
        <v>104</v>
      </c>
      <c r="H110" s="2" t="s">
        <v>215</v>
      </c>
      <c r="J110" s="2" t="s">
        <v>856</v>
      </c>
      <c r="K110" s="2">
        <f>MIN(25,ROUNDUP(J110/12,0))</f>
        <v>24</v>
      </c>
      <c r="L110" s="2">
        <f>C110-K110</f>
        <v>1</v>
      </c>
    </row>
    <row r="111" spans="1:12" x14ac:dyDescent="0.2">
      <c r="A111" s="2" t="s">
        <v>894</v>
      </c>
      <c r="B111" s="2" t="s">
        <v>129</v>
      </c>
      <c r="C111" s="2">
        <f>MIN(25,IF(K111&lt;=11,12,K111+2))</f>
        <v>12</v>
      </c>
      <c r="D111" s="2" t="s">
        <v>895</v>
      </c>
      <c r="E111" s="2" t="s">
        <v>454</v>
      </c>
      <c r="F111" s="2" t="s">
        <v>92</v>
      </c>
      <c r="G111" s="2" t="s">
        <v>134</v>
      </c>
      <c r="H111" s="2" t="s">
        <v>215</v>
      </c>
      <c r="J111" s="2" t="s">
        <v>896</v>
      </c>
      <c r="K111" s="2">
        <f>MIN(25,ROUNDUP(J111/12,0))</f>
        <v>11</v>
      </c>
      <c r="L111" s="2">
        <f>C111-K111</f>
        <v>1</v>
      </c>
    </row>
    <row r="112" spans="1:12" x14ac:dyDescent="0.2">
      <c r="A112" s="2" t="s">
        <v>942</v>
      </c>
      <c r="B112" s="2" t="s">
        <v>59</v>
      </c>
      <c r="C112" s="2">
        <f>MIN(25,IF(K112&lt;=11,12,K112+2))</f>
        <v>25</v>
      </c>
      <c r="D112" s="2" t="s">
        <v>943</v>
      </c>
      <c r="E112" s="2" t="s">
        <v>121</v>
      </c>
      <c r="F112" s="2" t="s">
        <v>47</v>
      </c>
      <c r="G112" s="2" t="s">
        <v>63</v>
      </c>
      <c r="H112" s="2" t="s">
        <v>215</v>
      </c>
      <c r="J112" s="2" t="s">
        <v>944</v>
      </c>
      <c r="K112" s="2">
        <f>MIN(25,ROUNDUP(J112/12,0))</f>
        <v>24</v>
      </c>
      <c r="L112" s="2">
        <f>C112-K112</f>
        <v>1</v>
      </c>
    </row>
    <row r="113" spans="1:12" x14ac:dyDescent="0.2">
      <c r="A113" s="2" t="s">
        <v>945</v>
      </c>
      <c r="B113" s="2" t="s">
        <v>30</v>
      </c>
      <c r="C113" s="2" t="s">
        <v>68</v>
      </c>
      <c r="D113" s="2" t="s">
        <v>946</v>
      </c>
      <c r="E113" s="2" t="s">
        <v>454</v>
      </c>
      <c r="F113" s="2" t="s">
        <v>947</v>
      </c>
      <c r="G113" s="2" t="s">
        <v>34</v>
      </c>
      <c r="H113" s="2" t="s">
        <v>19</v>
      </c>
      <c r="I113" s="2" t="s">
        <v>60</v>
      </c>
      <c r="J113" s="2" t="s">
        <v>948</v>
      </c>
      <c r="K113" s="2">
        <f>MIN(25,ROUNDUP(J113/12,0))</f>
        <v>13</v>
      </c>
      <c r="L113" s="2">
        <f>C113-K113</f>
        <v>1</v>
      </c>
    </row>
    <row r="114" spans="1:12" s="3" customFormat="1" x14ac:dyDescent="0.2">
      <c r="A114" s="3" t="s">
        <v>139</v>
      </c>
      <c r="B114" s="3" t="s">
        <v>129</v>
      </c>
      <c r="C114" s="3" t="s">
        <v>49</v>
      </c>
      <c r="D114" s="3" t="s">
        <v>140</v>
      </c>
      <c r="E114" s="3" t="s">
        <v>25</v>
      </c>
      <c r="F114" s="3" t="s">
        <v>47</v>
      </c>
      <c r="G114" s="3" t="s">
        <v>134</v>
      </c>
      <c r="H114" s="3" t="s">
        <v>19</v>
      </c>
      <c r="I114" s="3" t="s">
        <v>130</v>
      </c>
      <c r="J114" s="3" t="s">
        <v>141</v>
      </c>
      <c r="K114" s="3">
        <f>MIN(25,ROUNDUP(J114/12,0))</f>
        <v>8</v>
      </c>
      <c r="L114" s="3">
        <f>C114-K114</f>
        <v>0</v>
      </c>
    </row>
    <row r="115" spans="1:12" x14ac:dyDescent="0.2">
      <c r="A115" s="2" t="s">
        <v>149</v>
      </c>
      <c r="B115" s="2" t="s">
        <v>67</v>
      </c>
      <c r="C115" s="2" t="s">
        <v>122</v>
      </c>
      <c r="D115" s="2" t="s">
        <v>150</v>
      </c>
      <c r="E115" s="2" t="s">
        <v>151</v>
      </c>
      <c r="F115" s="2" t="s">
        <v>82</v>
      </c>
      <c r="G115" s="2" t="s">
        <v>71</v>
      </c>
      <c r="H115" s="2" t="s">
        <v>19</v>
      </c>
      <c r="I115" s="2" t="s">
        <v>75</v>
      </c>
      <c r="J115" s="2" t="s">
        <v>152</v>
      </c>
      <c r="K115" s="2">
        <f>MIN(25,ROUNDUP(J115/12,0))</f>
        <v>13</v>
      </c>
      <c r="L115" s="2">
        <f>C115-K115</f>
        <v>0</v>
      </c>
    </row>
    <row r="116" spans="1:12" x14ac:dyDescent="0.2">
      <c r="A116" s="2" t="s">
        <v>213</v>
      </c>
      <c r="B116" s="2" t="s">
        <v>23</v>
      </c>
      <c r="C116" s="2">
        <f>MIN(25,IF(K116&lt;=11,12,K116+2))</f>
        <v>25</v>
      </c>
      <c r="D116" s="2" t="s">
        <v>214</v>
      </c>
      <c r="E116" s="2" t="s">
        <v>168</v>
      </c>
      <c r="F116" s="2" t="s">
        <v>47</v>
      </c>
      <c r="G116" s="2" t="s">
        <v>27</v>
      </c>
      <c r="H116" s="2" t="s">
        <v>215</v>
      </c>
      <c r="J116" s="2" t="s">
        <v>216</v>
      </c>
      <c r="K116" s="2">
        <f>MIN(25,ROUNDUP(J116/12,0))</f>
        <v>25</v>
      </c>
      <c r="L116" s="2">
        <f>C116-K116</f>
        <v>0</v>
      </c>
    </row>
    <row r="117" spans="1:12" x14ac:dyDescent="0.2">
      <c r="A117" s="2" t="s">
        <v>373</v>
      </c>
      <c r="B117" s="2" t="s">
        <v>80</v>
      </c>
      <c r="C117" s="2">
        <f>MIN(25,IF(K117&lt;=11,12,K117+2))</f>
        <v>25</v>
      </c>
      <c r="D117" s="2" t="s">
        <v>374</v>
      </c>
      <c r="E117" s="2" t="s">
        <v>151</v>
      </c>
      <c r="F117" s="2" t="s">
        <v>160</v>
      </c>
      <c r="G117" s="2" t="s">
        <v>83</v>
      </c>
      <c r="H117" s="2" t="s">
        <v>215</v>
      </c>
      <c r="J117" s="2" t="s">
        <v>375</v>
      </c>
      <c r="K117" s="2">
        <f>MIN(25,ROUNDUP(J117/12,0))</f>
        <v>25</v>
      </c>
      <c r="L117" s="2">
        <f>C117-K117</f>
        <v>0</v>
      </c>
    </row>
    <row r="118" spans="1:12" x14ac:dyDescent="0.2">
      <c r="A118" s="2" t="s">
        <v>398</v>
      </c>
      <c r="B118" s="2" t="s">
        <v>129</v>
      </c>
      <c r="C118" s="2">
        <f>MIN(25,IF(K118&lt;=11,12,K118+2))</f>
        <v>25</v>
      </c>
      <c r="D118" s="2" t="s">
        <v>399</v>
      </c>
      <c r="E118" s="2" t="s">
        <v>201</v>
      </c>
      <c r="F118" s="2" t="s">
        <v>17</v>
      </c>
      <c r="G118" s="2" t="s">
        <v>134</v>
      </c>
      <c r="H118" s="2" t="s">
        <v>215</v>
      </c>
      <c r="J118" s="2" t="s">
        <v>400</v>
      </c>
      <c r="K118" s="2">
        <f>MIN(25,ROUNDUP(J118/12,0))</f>
        <v>25</v>
      </c>
      <c r="L118" s="2">
        <f>C118-K118</f>
        <v>0</v>
      </c>
    </row>
    <row r="119" spans="1:12" x14ac:dyDescent="0.2">
      <c r="A119" s="2" t="s">
        <v>401</v>
      </c>
      <c r="B119" s="2" t="s">
        <v>13</v>
      </c>
      <c r="C119" s="2">
        <f>MIN(25,IF(K119&lt;=11,12,K119+2))</f>
        <v>25</v>
      </c>
      <c r="D119" s="2" t="s">
        <v>402</v>
      </c>
      <c r="E119" s="2" t="s">
        <v>335</v>
      </c>
      <c r="F119" s="2" t="s">
        <v>47</v>
      </c>
      <c r="G119" s="2" t="s">
        <v>18</v>
      </c>
      <c r="H119" s="2" t="s">
        <v>215</v>
      </c>
      <c r="J119" s="2" t="s">
        <v>403</v>
      </c>
      <c r="K119" s="2">
        <f>MIN(25,ROUNDUP(J119/12,0))</f>
        <v>25</v>
      </c>
      <c r="L119" s="2">
        <f>C119-K119</f>
        <v>0</v>
      </c>
    </row>
    <row r="120" spans="1:12" x14ac:dyDescent="0.2">
      <c r="A120" s="2" t="s">
        <v>404</v>
      </c>
      <c r="B120" s="2" t="s">
        <v>74</v>
      </c>
      <c r="C120" s="2">
        <f>MIN(25,IF(K120&lt;=11,12,K120+2))</f>
        <v>25</v>
      </c>
      <c r="D120" s="2" t="s">
        <v>405</v>
      </c>
      <c r="E120" s="2" t="s">
        <v>201</v>
      </c>
      <c r="F120" s="2" t="s">
        <v>82</v>
      </c>
      <c r="G120" s="2" t="s">
        <v>77</v>
      </c>
      <c r="H120" s="2" t="s">
        <v>215</v>
      </c>
      <c r="J120" s="2" t="s">
        <v>406</v>
      </c>
      <c r="K120" s="2">
        <f>MIN(25,ROUNDUP(J120/12,0))</f>
        <v>25</v>
      </c>
      <c r="L120" s="2">
        <f>C120-K120</f>
        <v>0</v>
      </c>
    </row>
    <row r="121" spans="1:12" x14ac:dyDescent="0.2">
      <c r="A121" s="2" t="s">
        <v>410</v>
      </c>
      <c r="B121" s="2" t="s">
        <v>95</v>
      </c>
      <c r="C121" s="2">
        <f>MIN(25,IF(K121&lt;=11,12,K121+2))</f>
        <v>25</v>
      </c>
      <c r="D121" s="2" t="s">
        <v>411</v>
      </c>
      <c r="E121" s="2" t="s">
        <v>70</v>
      </c>
      <c r="F121" s="2" t="s">
        <v>181</v>
      </c>
      <c r="G121" s="2" t="s">
        <v>98</v>
      </c>
      <c r="H121" s="2" t="s">
        <v>215</v>
      </c>
      <c r="J121" s="2" t="s">
        <v>412</v>
      </c>
      <c r="K121" s="2">
        <f>MIN(25,ROUNDUP(J121/12,0))</f>
        <v>25</v>
      </c>
      <c r="L121" s="2">
        <f>C121-K121</f>
        <v>0</v>
      </c>
    </row>
    <row r="122" spans="1:12" x14ac:dyDescent="0.2">
      <c r="A122" s="2" t="s">
        <v>415</v>
      </c>
      <c r="B122" s="2" t="s">
        <v>80</v>
      </c>
      <c r="C122" s="2">
        <f>MIN(25,IF(K122&lt;=11,12,K122+2))</f>
        <v>25</v>
      </c>
      <c r="D122" s="2" t="s">
        <v>416</v>
      </c>
      <c r="E122" s="2" t="s">
        <v>177</v>
      </c>
      <c r="F122" s="2" t="s">
        <v>82</v>
      </c>
      <c r="G122" s="2" t="s">
        <v>83</v>
      </c>
      <c r="H122" s="2" t="s">
        <v>215</v>
      </c>
      <c r="J122" s="2" t="s">
        <v>417</v>
      </c>
      <c r="K122" s="2">
        <f>MIN(25,ROUNDUP(J122/12,0))</f>
        <v>25</v>
      </c>
      <c r="L122" s="2">
        <f>C122-K122</f>
        <v>0</v>
      </c>
    </row>
    <row r="123" spans="1:12" x14ac:dyDescent="0.2">
      <c r="A123" s="2" t="s">
        <v>421</v>
      </c>
      <c r="B123" s="2" t="s">
        <v>44</v>
      </c>
      <c r="C123" s="2" t="s">
        <v>221</v>
      </c>
      <c r="D123" s="2" t="s">
        <v>422</v>
      </c>
      <c r="E123" s="2" t="s">
        <v>151</v>
      </c>
      <c r="F123" s="2" t="s">
        <v>26</v>
      </c>
      <c r="G123" s="2" t="s">
        <v>48</v>
      </c>
      <c r="H123" s="2" t="s">
        <v>19</v>
      </c>
      <c r="I123" s="2" t="s">
        <v>221</v>
      </c>
      <c r="J123" s="2" t="s">
        <v>423</v>
      </c>
      <c r="K123" s="2">
        <f>MIN(25,ROUNDUP(J123/12,0))</f>
        <v>1</v>
      </c>
      <c r="L123" s="2">
        <f>C123-K123</f>
        <v>0</v>
      </c>
    </row>
    <row r="124" spans="1:12" x14ac:dyDescent="0.2">
      <c r="A124" s="2" t="s">
        <v>439</v>
      </c>
      <c r="B124" s="2" t="s">
        <v>59</v>
      </c>
      <c r="C124" s="2" t="s">
        <v>221</v>
      </c>
      <c r="D124" s="2" t="s">
        <v>440</v>
      </c>
      <c r="E124" s="2" t="s">
        <v>172</v>
      </c>
      <c r="F124" s="2" t="s">
        <v>17</v>
      </c>
      <c r="G124" s="2" t="s">
        <v>63</v>
      </c>
      <c r="H124" s="2" t="s">
        <v>19</v>
      </c>
      <c r="I124" s="2" t="s">
        <v>221</v>
      </c>
      <c r="J124" s="2" t="s">
        <v>441</v>
      </c>
      <c r="K124" s="2">
        <f>MIN(25,ROUNDUP(J124/12,0))</f>
        <v>1</v>
      </c>
      <c r="L124" s="2">
        <f>C124-K124</f>
        <v>0</v>
      </c>
    </row>
    <row r="125" spans="1:12" s="3" customFormat="1" x14ac:dyDescent="0.2">
      <c r="A125" s="3" t="s">
        <v>460</v>
      </c>
      <c r="B125" s="3" t="s">
        <v>44</v>
      </c>
      <c r="C125" s="3">
        <f>MIN(25,IF(K125&lt;=11,12,K125+2))</f>
        <v>25</v>
      </c>
      <c r="D125" s="3" t="s">
        <v>461</v>
      </c>
      <c r="E125" s="3" t="s">
        <v>54</v>
      </c>
      <c r="F125" s="3" t="s">
        <v>26</v>
      </c>
      <c r="G125" s="3" t="s">
        <v>48</v>
      </c>
      <c r="H125" s="3" t="s">
        <v>215</v>
      </c>
      <c r="J125" s="3" t="s">
        <v>462</v>
      </c>
      <c r="K125" s="3">
        <f>MIN(25,ROUNDUP(J125/12,0))</f>
        <v>25</v>
      </c>
      <c r="L125" s="3">
        <f>C125-K125</f>
        <v>0</v>
      </c>
    </row>
    <row r="126" spans="1:12" x14ac:dyDescent="0.2">
      <c r="A126" s="2" t="s">
        <v>465</v>
      </c>
      <c r="B126" s="2" t="s">
        <v>67</v>
      </c>
      <c r="C126" s="2">
        <f>MIN(25,IF(K126&lt;=11,12,K126+2))</f>
        <v>25</v>
      </c>
      <c r="D126" s="2" t="s">
        <v>466</v>
      </c>
      <c r="E126" s="2" t="s">
        <v>97</v>
      </c>
      <c r="F126" s="2" t="s">
        <v>82</v>
      </c>
      <c r="G126" s="2" t="s">
        <v>71</v>
      </c>
      <c r="H126" s="2" t="s">
        <v>215</v>
      </c>
      <c r="J126" s="2" t="s">
        <v>467</v>
      </c>
      <c r="K126" s="2">
        <f>MIN(25,ROUNDUP(J126/12,0))</f>
        <v>25</v>
      </c>
      <c r="L126" s="2">
        <f>C126-K126</f>
        <v>0</v>
      </c>
    </row>
    <row r="127" spans="1:12" x14ac:dyDescent="0.2">
      <c r="A127" s="2" t="s">
        <v>471</v>
      </c>
      <c r="B127" s="2" t="s">
        <v>44</v>
      </c>
      <c r="C127" s="2">
        <f>MIN(25,IF(K127&lt;=11,12,K127+2))</f>
        <v>25</v>
      </c>
      <c r="D127" s="2" t="s">
        <v>472</v>
      </c>
      <c r="E127" s="2" t="s">
        <v>177</v>
      </c>
      <c r="F127" s="2" t="s">
        <v>82</v>
      </c>
      <c r="G127" s="2" t="s">
        <v>48</v>
      </c>
      <c r="H127" s="2" t="s">
        <v>215</v>
      </c>
      <c r="J127" s="2" t="s">
        <v>473</v>
      </c>
      <c r="K127" s="2">
        <f>MIN(25,ROUNDUP(J127/12,0))</f>
        <v>25</v>
      </c>
      <c r="L127" s="2">
        <f>C127-K127</f>
        <v>0</v>
      </c>
    </row>
    <row r="128" spans="1:12" x14ac:dyDescent="0.2">
      <c r="A128" s="2" t="s">
        <v>483</v>
      </c>
      <c r="B128" s="2" t="s">
        <v>13</v>
      </c>
      <c r="C128" s="2">
        <f>MIN(25,IF(K128&lt;=11,12,K128+2))</f>
        <v>25</v>
      </c>
      <c r="D128" s="2" t="s">
        <v>484</v>
      </c>
      <c r="E128" s="2" t="s">
        <v>168</v>
      </c>
      <c r="F128" s="2" t="s">
        <v>485</v>
      </c>
      <c r="G128" s="2" t="s">
        <v>18</v>
      </c>
      <c r="H128" s="2" t="s">
        <v>215</v>
      </c>
      <c r="J128" s="2" t="s">
        <v>486</v>
      </c>
      <c r="K128" s="2">
        <f>MIN(25,ROUNDUP(J128/12,0))</f>
        <v>25</v>
      </c>
      <c r="L128" s="2">
        <f>C128-K128</f>
        <v>0</v>
      </c>
    </row>
    <row r="129" spans="1:12" x14ac:dyDescent="0.2">
      <c r="A129" s="2" t="s">
        <v>493</v>
      </c>
      <c r="B129" s="2" t="s">
        <v>74</v>
      </c>
      <c r="C129" s="2">
        <f>MIN(25,IF(K129&lt;=11,12,K129+2))</f>
        <v>25</v>
      </c>
      <c r="D129" s="2" t="s">
        <v>494</v>
      </c>
      <c r="E129" s="2" t="s">
        <v>284</v>
      </c>
      <c r="F129" s="2" t="s">
        <v>26</v>
      </c>
      <c r="G129" s="2" t="s">
        <v>77</v>
      </c>
      <c r="H129" s="2" t="s">
        <v>215</v>
      </c>
      <c r="J129" s="2" t="s">
        <v>495</v>
      </c>
      <c r="K129" s="2">
        <f>MIN(25,ROUNDUP(J129/12,0))</f>
        <v>25</v>
      </c>
      <c r="L129" s="2">
        <f>C129-K129</f>
        <v>0</v>
      </c>
    </row>
    <row r="130" spans="1:12" s="3" customFormat="1" x14ac:dyDescent="0.2">
      <c r="A130" s="3" t="s">
        <v>496</v>
      </c>
      <c r="B130" s="3" t="s">
        <v>67</v>
      </c>
      <c r="C130" s="3" t="s">
        <v>221</v>
      </c>
      <c r="D130" s="3" t="s">
        <v>497</v>
      </c>
      <c r="E130" s="3" t="s">
        <v>91</v>
      </c>
      <c r="F130" s="3" t="s">
        <v>17</v>
      </c>
      <c r="G130" s="3" t="s">
        <v>71</v>
      </c>
      <c r="H130" s="3" t="s">
        <v>19</v>
      </c>
      <c r="I130" s="3" t="s">
        <v>221</v>
      </c>
      <c r="J130" s="3" t="s">
        <v>498</v>
      </c>
      <c r="K130" s="3">
        <f>MIN(25,ROUNDUP(J130/12,0))</f>
        <v>1</v>
      </c>
      <c r="L130" s="3">
        <f>C130-K130</f>
        <v>0</v>
      </c>
    </row>
    <row r="131" spans="1:12" x14ac:dyDescent="0.2">
      <c r="A131" s="2" t="s">
        <v>502</v>
      </c>
      <c r="B131" s="2" t="s">
        <v>114</v>
      </c>
      <c r="C131" s="2">
        <f>MIN(25,IF(K131&lt;=11,12,K131+2))</f>
        <v>25</v>
      </c>
      <c r="D131" s="2" t="s">
        <v>503</v>
      </c>
      <c r="E131" s="2" t="s">
        <v>54</v>
      </c>
      <c r="F131" s="2" t="s">
        <v>47</v>
      </c>
      <c r="G131" s="2" t="s">
        <v>116</v>
      </c>
      <c r="H131" s="2" t="s">
        <v>215</v>
      </c>
      <c r="J131" s="2" t="s">
        <v>504</v>
      </c>
      <c r="K131" s="2">
        <f>MIN(25,ROUNDUP(J131/12,0))</f>
        <v>25</v>
      </c>
      <c r="L131" s="2">
        <f>C131-K131</f>
        <v>0</v>
      </c>
    </row>
    <row r="132" spans="1:12" x14ac:dyDescent="0.2">
      <c r="A132" s="2" t="s">
        <v>505</v>
      </c>
      <c r="B132" s="2" t="s">
        <v>101</v>
      </c>
      <c r="C132" s="2">
        <f>MIN(25,IF(K132&lt;=11,12,K132+2))</f>
        <v>25</v>
      </c>
      <c r="D132" s="2" t="s">
        <v>506</v>
      </c>
      <c r="E132" s="2" t="s">
        <v>243</v>
      </c>
      <c r="F132" s="2" t="s">
        <v>47</v>
      </c>
      <c r="G132" s="2" t="s">
        <v>104</v>
      </c>
      <c r="H132" s="2" t="s">
        <v>215</v>
      </c>
      <c r="J132" s="2" t="s">
        <v>507</v>
      </c>
      <c r="K132" s="2">
        <f>MIN(25,ROUNDUP(J132/12,0))</f>
        <v>25</v>
      </c>
      <c r="L132" s="2">
        <f>C132-K132</f>
        <v>0</v>
      </c>
    </row>
    <row r="133" spans="1:12" x14ac:dyDescent="0.2">
      <c r="A133" s="2" t="s">
        <v>508</v>
      </c>
      <c r="B133" s="2" t="s">
        <v>44</v>
      </c>
      <c r="C133" s="2">
        <f>MIN(25,IF(K133&lt;=11,12,K133+2))</f>
        <v>25</v>
      </c>
      <c r="D133" s="2" t="s">
        <v>509</v>
      </c>
      <c r="E133" s="2" t="s">
        <v>151</v>
      </c>
      <c r="F133" s="2" t="s">
        <v>510</v>
      </c>
      <c r="G133" s="2" t="s">
        <v>48</v>
      </c>
      <c r="H133" s="2" t="s">
        <v>215</v>
      </c>
      <c r="J133" s="2" t="s">
        <v>511</v>
      </c>
      <c r="K133" s="2">
        <f>MIN(25,ROUNDUP(J133/12,0))</f>
        <v>25</v>
      </c>
      <c r="L133" s="2">
        <f>C133-K133</f>
        <v>0</v>
      </c>
    </row>
    <row r="134" spans="1:12" x14ac:dyDescent="0.2">
      <c r="A134" s="2" t="s">
        <v>527</v>
      </c>
      <c r="B134" s="2" t="s">
        <v>44</v>
      </c>
      <c r="C134" s="2" t="s">
        <v>221</v>
      </c>
      <c r="D134" s="2" t="s">
        <v>528</v>
      </c>
      <c r="E134" s="2" t="s">
        <v>87</v>
      </c>
      <c r="F134" s="2" t="s">
        <v>485</v>
      </c>
      <c r="G134" s="2" t="s">
        <v>48</v>
      </c>
      <c r="H134" s="2" t="s">
        <v>19</v>
      </c>
      <c r="I134" s="2" t="s">
        <v>221</v>
      </c>
      <c r="J134" s="2" t="s">
        <v>529</v>
      </c>
      <c r="K134" s="2">
        <f>MIN(25,ROUNDUP(J134/12,0))</f>
        <v>1</v>
      </c>
      <c r="L134" s="2">
        <f>C134-K134</f>
        <v>0</v>
      </c>
    </row>
    <row r="135" spans="1:12" x14ac:dyDescent="0.2">
      <c r="A135" s="2" t="s">
        <v>551</v>
      </c>
      <c r="B135" s="2" t="s">
        <v>95</v>
      </c>
      <c r="C135" s="2" t="s">
        <v>221</v>
      </c>
      <c r="D135" s="2" t="s">
        <v>552</v>
      </c>
      <c r="E135" s="2" t="s">
        <v>103</v>
      </c>
      <c r="F135" s="2" t="s">
        <v>26</v>
      </c>
      <c r="G135" s="2" t="s">
        <v>98</v>
      </c>
      <c r="H135" s="2" t="s">
        <v>19</v>
      </c>
      <c r="I135" s="2" t="s">
        <v>221</v>
      </c>
      <c r="J135" s="2" t="s">
        <v>553</v>
      </c>
      <c r="K135" s="2">
        <f>MIN(25,ROUNDUP(J135/12,0))</f>
        <v>1</v>
      </c>
      <c r="L135" s="2">
        <f>C135-K135</f>
        <v>0</v>
      </c>
    </row>
    <row r="136" spans="1:12" x14ac:dyDescent="0.2">
      <c r="A136" s="2" t="s">
        <v>560</v>
      </c>
      <c r="B136" s="2" t="s">
        <v>23</v>
      </c>
      <c r="C136" s="2" t="s">
        <v>221</v>
      </c>
      <c r="D136" s="2" t="s">
        <v>561</v>
      </c>
      <c r="E136" s="2" t="s">
        <v>194</v>
      </c>
      <c r="F136" s="2" t="s">
        <v>26</v>
      </c>
      <c r="G136" s="2" t="s">
        <v>27</v>
      </c>
      <c r="H136" s="2" t="s">
        <v>19</v>
      </c>
      <c r="I136" s="2" t="s">
        <v>221</v>
      </c>
      <c r="J136" s="2" t="s">
        <v>562</v>
      </c>
      <c r="K136" s="2">
        <f>MIN(25,ROUNDUP(J136/12,0))</f>
        <v>1</v>
      </c>
      <c r="L136" s="2">
        <f>C136-K136</f>
        <v>0</v>
      </c>
    </row>
    <row r="137" spans="1:12" x14ac:dyDescent="0.2">
      <c r="A137" s="2" t="s">
        <v>580</v>
      </c>
      <c r="B137" s="2" t="s">
        <v>59</v>
      </c>
      <c r="C137" s="2" t="s">
        <v>41</v>
      </c>
      <c r="D137" s="2" t="s">
        <v>581</v>
      </c>
      <c r="E137" s="2" t="s">
        <v>33</v>
      </c>
      <c r="F137" s="2" t="s">
        <v>160</v>
      </c>
      <c r="G137" s="2" t="s">
        <v>63</v>
      </c>
      <c r="H137" s="2" t="s">
        <v>19</v>
      </c>
      <c r="I137" s="2" t="s">
        <v>49</v>
      </c>
      <c r="J137" s="2" t="s">
        <v>42</v>
      </c>
      <c r="K137" s="2">
        <f>MIN(25,ROUNDUP(J137/12,0))</f>
        <v>6</v>
      </c>
      <c r="L137" s="2">
        <f>C137-K137</f>
        <v>0</v>
      </c>
    </row>
    <row r="138" spans="1:12" x14ac:dyDescent="0.2">
      <c r="A138" s="2" t="s">
        <v>582</v>
      </c>
      <c r="B138" s="2" t="s">
        <v>95</v>
      </c>
      <c r="C138" s="2" t="s">
        <v>221</v>
      </c>
      <c r="D138" s="2" t="s">
        <v>583</v>
      </c>
      <c r="E138" s="2" t="s">
        <v>274</v>
      </c>
      <c r="F138" s="2" t="s">
        <v>133</v>
      </c>
      <c r="G138" s="2" t="s">
        <v>98</v>
      </c>
      <c r="H138" s="2" t="s">
        <v>19</v>
      </c>
      <c r="I138" s="2" t="s">
        <v>192</v>
      </c>
      <c r="J138" s="2" t="s">
        <v>584</v>
      </c>
      <c r="K138" s="2">
        <f>MIN(25,ROUNDUP(J138/12,0))</f>
        <v>1</v>
      </c>
      <c r="L138" s="2">
        <f>C138-K138</f>
        <v>0</v>
      </c>
    </row>
    <row r="139" spans="1:12" x14ac:dyDescent="0.2">
      <c r="A139" s="2" t="s">
        <v>588</v>
      </c>
      <c r="B139" s="2" t="s">
        <v>129</v>
      </c>
      <c r="C139" s="2" t="s">
        <v>221</v>
      </c>
      <c r="D139" s="2" t="s">
        <v>589</v>
      </c>
      <c r="E139" s="2" t="s">
        <v>121</v>
      </c>
      <c r="F139" s="2" t="s">
        <v>26</v>
      </c>
      <c r="G139" s="2" t="s">
        <v>134</v>
      </c>
      <c r="H139" s="2" t="s">
        <v>19</v>
      </c>
      <c r="I139" s="2" t="s">
        <v>221</v>
      </c>
      <c r="J139" s="2" t="s">
        <v>590</v>
      </c>
      <c r="K139" s="2">
        <f>MIN(25,ROUNDUP(J139/12,0))</f>
        <v>1</v>
      </c>
      <c r="L139" s="2">
        <f>C139-K139</f>
        <v>0</v>
      </c>
    </row>
    <row r="140" spans="1:12" x14ac:dyDescent="0.2">
      <c r="A140" s="2" t="s">
        <v>594</v>
      </c>
      <c r="B140" s="2" t="s">
        <v>13</v>
      </c>
      <c r="C140" s="2">
        <f>MIN(25,IF(K140&lt;=11,12,K140+2))</f>
        <v>25</v>
      </c>
      <c r="D140" s="2" t="s">
        <v>595</v>
      </c>
      <c r="E140" s="2" t="s">
        <v>40</v>
      </c>
      <c r="F140" s="2" t="s">
        <v>26</v>
      </c>
      <c r="G140" s="2" t="s">
        <v>18</v>
      </c>
      <c r="H140" s="2" t="s">
        <v>215</v>
      </c>
      <c r="J140" s="2" t="s">
        <v>596</v>
      </c>
      <c r="K140" s="2">
        <f>MIN(25,ROUNDUP(J140/12,0))</f>
        <v>25</v>
      </c>
      <c r="L140" s="2">
        <f>C140-K140</f>
        <v>0</v>
      </c>
    </row>
    <row r="141" spans="1:12" x14ac:dyDescent="0.2">
      <c r="A141" s="2" t="s">
        <v>597</v>
      </c>
      <c r="B141" s="2" t="s">
        <v>114</v>
      </c>
      <c r="C141" s="2">
        <f>MIN(25,IF(K141&lt;=11,12,K141+2))</f>
        <v>25</v>
      </c>
      <c r="D141" s="2" t="s">
        <v>598</v>
      </c>
      <c r="E141" s="2" t="s">
        <v>454</v>
      </c>
      <c r="F141" s="2" t="s">
        <v>160</v>
      </c>
      <c r="G141" s="2" t="s">
        <v>116</v>
      </c>
      <c r="H141" s="2" t="s">
        <v>215</v>
      </c>
      <c r="J141" s="2" t="s">
        <v>599</v>
      </c>
      <c r="K141" s="2">
        <f>MIN(25,ROUNDUP(J141/12,0))</f>
        <v>25</v>
      </c>
      <c r="L141" s="2">
        <f>C141-K141</f>
        <v>0</v>
      </c>
    </row>
    <row r="142" spans="1:12" x14ac:dyDescent="0.2">
      <c r="A142" s="2" t="s">
        <v>640</v>
      </c>
      <c r="B142" s="2" t="s">
        <v>129</v>
      </c>
      <c r="C142" s="2" t="s">
        <v>161</v>
      </c>
      <c r="D142" s="2" t="s">
        <v>641</v>
      </c>
      <c r="E142" s="2" t="s">
        <v>168</v>
      </c>
      <c r="F142" s="2" t="s">
        <v>147</v>
      </c>
      <c r="G142" s="2" t="s">
        <v>134</v>
      </c>
      <c r="H142" s="2" t="s">
        <v>19</v>
      </c>
      <c r="I142" s="2" t="s">
        <v>187</v>
      </c>
      <c r="J142" s="2" t="s">
        <v>642</v>
      </c>
      <c r="K142" s="2">
        <f>MIN(25,ROUNDUP(J142/12,0))</f>
        <v>5</v>
      </c>
      <c r="L142" s="2">
        <f>C142-K142</f>
        <v>0</v>
      </c>
    </row>
    <row r="143" spans="1:12" x14ac:dyDescent="0.2">
      <c r="A143" s="2" t="s">
        <v>654</v>
      </c>
      <c r="B143" s="2" t="s">
        <v>114</v>
      </c>
      <c r="C143" s="2">
        <f>MIN(25,IF(K143&lt;=11,12,K143+2))</f>
        <v>25</v>
      </c>
      <c r="D143" s="2" t="s">
        <v>655</v>
      </c>
      <c r="E143" s="2" t="s">
        <v>284</v>
      </c>
      <c r="F143" s="2" t="s">
        <v>47</v>
      </c>
      <c r="G143" s="2" t="s">
        <v>116</v>
      </c>
      <c r="H143" s="2" t="s">
        <v>215</v>
      </c>
      <c r="J143" s="2" t="s">
        <v>656</v>
      </c>
      <c r="K143" s="2">
        <f>MIN(25,ROUNDUP(J143/12,0))</f>
        <v>25</v>
      </c>
      <c r="L143" s="2">
        <f>C143-K143</f>
        <v>0</v>
      </c>
    </row>
    <row r="144" spans="1:12" x14ac:dyDescent="0.2">
      <c r="A144" s="2" t="s">
        <v>660</v>
      </c>
      <c r="B144" s="2" t="s">
        <v>129</v>
      </c>
      <c r="C144" s="2" t="s">
        <v>158</v>
      </c>
      <c r="D144" s="2" t="s">
        <v>661</v>
      </c>
      <c r="E144" s="2" t="s">
        <v>254</v>
      </c>
      <c r="F144" s="2" t="s">
        <v>47</v>
      </c>
      <c r="G144" s="2" t="s">
        <v>134</v>
      </c>
      <c r="H144" s="2" t="s">
        <v>19</v>
      </c>
      <c r="I144" s="2" t="s">
        <v>161</v>
      </c>
      <c r="J144" s="2" t="s">
        <v>662</v>
      </c>
      <c r="K144" s="2">
        <f>MIN(25,ROUNDUP(J144/12,0))</f>
        <v>3</v>
      </c>
      <c r="L144" s="2">
        <f>C144-K144</f>
        <v>0</v>
      </c>
    </row>
    <row r="145" spans="1:12" x14ac:dyDescent="0.2">
      <c r="A145" s="2" t="s">
        <v>670</v>
      </c>
      <c r="B145" s="2" t="s">
        <v>44</v>
      </c>
      <c r="C145" s="2" t="s">
        <v>119</v>
      </c>
      <c r="D145" s="2" t="s">
        <v>671</v>
      </c>
      <c r="E145" s="2" t="s">
        <v>236</v>
      </c>
      <c r="F145" s="2" t="s">
        <v>47</v>
      </c>
      <c r="G145" s="2" t="s">
        <v>48</v>
      </c>
      <c r="H145" s="2" t="s">
        <v>19</v>
      </c>
      <c r="I145" s="2" t="s">
        <v>122</v>
      </c>
      <c r="J145" s="2" t="s">
        <v>672</v>
      </c>
      <c r="K145" s="2">
        <f>MIN(25,ROUNDUP(J145/12,0))</f>
        <v>11</v>
      </c>
      <c r="L145" s="2">
        <f>C145-K145</f>
        <v>0</v>
      </c>
    </row>
    <row r="146" spans="1:12" s="3" customFormat="1" x14ac:dyDescent="0.2">
      <c r="A146" s="3" t="s">
        <v>678</v>
      </c>
      <c r="B146" s="3" t="s">
        <v>95</v>
      </c>
      <c r="C146" s="3" t="s">
        <v>161</v>
      </c>
      <c r="D146" s="3" t="s">
        <v>679</v>
      </c>
      <c r="E146" s="3" t="s">
        <v>288</v>
      </c>
      <c r="F146" s="3" t="s">
        <v>26</v>
      </c>
      <c r="G146" s="3" t="s">
        <v>98</v>
      </c>
      <c r="H146" s="3" t="s">
        <v>19</v>
      </c>
      <c r="I146" s="3" t="s">
        <v>187</v>
      </c>
      <c r="J146" s="3" t="s">
        <v>680</v>
      </c>
      <c r="K146" s="3">
        <f>MIN(25,ROUNDUP(J146/12,0))</f>
        <v>5</v>
      </c>
      <c r="L146" s="3">
        <f>C146-K146</f>
        <v>0</v>
      </c>
    </row>
    <row r="147" spans="1:12" x14ac:dyDescent="0.2">
      <c r="A147" s="2" t="s">
        <v>681</v>
      </c>
      <c r="B147" s="2" t="s">
        <v>74</v>
      </c>
      <c r="C147" s="2">
        <f>MIN(25,IF(K147&lt;=11,12,K147+2))</f>
        <v>25</v>
      </c>
      <c r="D147" s="2" t="s">
        <v>682</v>
      </c>
      <c r="E147" s="2" t="s">
        <v>25</v>
      </c>
      <c r="F147" s="2" t="s">
        <v>223</v>
      </c>
      <c r="G147" s="2" t="s">
        <v>77</v>
      </c>
      <c r="H147" s="2" t="s">
        <v>215</v>
      </c>
      <c r="J147" s="2" t="s">
        <v>683</v>
      </c>
      <c r="K147" s="2">
        <f>MIN(25,ROUNDUP(J147/12,0))</f>
        <v>25</v>
      </c>
      <c r="L147" s="2">
        <f>C147-K147</f>
        <v>0</v>
      </c>
    </row>
    <row r="148" spans="1:12" x14ac:dyDescent="0.2">
      <c r="A148" s="2" t="s">
        <v>696</v>
      </c>
      <c r="B148" s="2" t="s">
        <v>59</v>
      </c>
      <c r="C148" s="2">
        <f>MIN(25,IF(K148&lt;=11,12,K148+2))</f>
        <v>25</v>
      </c>
      <c r="D148" s="2" t="s">
        <v>697</v>
      </c>
      <c r="E148" s="2" t="s">
        <v>284</v>
      </c>
      <c r="F148" s="2" t="s">
        <v>92</v>
      </c>
      <c r="G148" s="2" t="s">
        <v>63</v>
      </c>
      <c r="H148" s="2" t="s">
        <v>215</v>
      </c>
      <c r="J148" s="2" t="s">
        <v>698</v>
      </c>
      <c r="K148" s="2">
        <f>MIN(25,ROUNDUP(J148/12,0))</f>
        <v>25</v>
      </c>
      <c r="L148" s="2">
        <f>C148-K148</f>
        <v>0</v>
      </c>
    </row>
    <row r="149" spans="1:12" x14ac:dyDescent="0.2">
      <c r="A149" s="2" t="s">
        <v>781</v>
      </c>
      <c r="B149" s="2" t="s">
        <v>95</v>
      </c>
      <c r="C149" s="2">
        <f>MIN(25,IF(K149&lt;=11,12,K149+2))</f>
        <v>25</v>
      </c>
      <c r="D149" s="2" t="s">
        <v>782</v>
      </c>
      <c r="E149" s="2" t="s">
        <v>274</v>
      </c>
      <c r="F149" s="2" t="s">
        <v>82</v>
      </c>
      <c r="G149" s="2" t="s">
        <v>98</v>
      </c>
      <c r="H149" s="2" t="s">
        <v>215</v>
      </c>
      <c r="J149" s="2" t="s">
        <v>783</v>
      </c>
      <c r="K149" s="2">
        <f>MIN(25,ROUNDUP(J149/12,0))</f>
        <v>25</v>
      </c>
      <c r="L149" s="2">
        <f>C149-K149</f>
        <v>0</v>
      </c>
    </row>
    <row r="150" spans="1:12" x14ac:dyDescent="0.2">
      <c r="A150" s="2" t="s">
        <v>787</v>
      </c>
      <c r="B150" s="2" t="s">
        <v>74</v>
      </c>
      <c r="C150" s="2">
        <f>MIN(25,IF(K150&lt;=11,12,K150+2))</f>
        <v>25</v>
      </c>
      <c r="D150" s="2" t="s">
        <v>788</v>
      </c>
      <c r="E150" s="2" t="s">
        <v>121</v>
      </c>
      <c r="F150" s="2" t="s">
        <v>82</v>
      </c>
      <c r="G150" s="2" t="s">
        <v>77</v>
      </c>
      <c r="H150" s="2" t="s">
        <v>215</v>
      </c>
      <c r="J150" s="2" t="s">
        <v>789</v>
      </c>
      <c r="K150" s="2">
        <f>MIN(25,ROUNDUP(J150/12,0))</f>
        <v>25</v>
      </c>
      <c r="L150" s="2">
        <f>C150-K150</f>
        <v>0</v>
      </c>
    </row>
    <row r="151" spans="1:12" x14ac:dyDescent="0.2">
      <c r="A151" s="2" t="s">
        <v>790</v>
      </c>
      <c r="B151" s="2" t="s">
        <v>59</v>
      </c>
      <c r="C151" s="2">
        <f>MIN(25,IF(K151&lt;=11,12,K151+2))</f>
        <v>25</v>
      </c>
      <c r="D151" s="2" t="s">
        <v>791</v>
      </c>
      <c r="E151" s="2" t="s">
        <v>288</v>
      </c>
      <c r="F151" s="2" t="s">
        <v>82</v>
      </c>
      <c r="G151" s="2" t="s">
        <v>63</v>
      </c>
      <c r="H151" s="2" t="s">
        <v>215</v>
      </c>
      <c r="J151" s="2" t="s">
        <v>792</v>
      </c>
      <c r="K151" s="2">
        <f>MIN(25,ROUNDUP(J151/12,0))</f>
        <v>25</v>
      </c>
      <c r="L151" s="2">
        <f>C151-K151</f>
        <v>0</v>
      </c>
    </row>
    <row r="152" spans="1:12" x14ac:dyDescent="0.2">
      <c r="A152" s="2" t="s">
        <v>793</v>
      </c>
      <c r="B152" s="2" t="s">
        <v>129</v>
      </c>
      <c r="C152" s="2">
        <f>MIN(25,IF(K152&lt;=11,12,K152+2))</f>
        <v>25</v>
      </c>
      <c r="D152" s="2" t="s">
        <v>794</v>
      </c>
      <c r="E152" s="2" t="s">
        <v>54</v>
      </c>
      <c r="F152" s="2" t="s">
        <v>82</v>
      </c>
      <c r="G152" s="2" t="s">
        <v>134</v>
      </c>
      <c r="H152" s="2" t="s">
        <v>215</v>
      </c>
      <c r="J152" s="2" t="s">
        <v>795</v>
      </c>
      <c r="K152" s="2">
        <f>MIN(25,ROUNDUP(J152/12,0))</f>
        <v>25</v>
      </c>
      <c r="L152" s="2">
        <f>C152-K152</f>
        <v>0</v>
      </c>
    </row>
    <row r="153" spans="1:12" x14ac:dyDescent="0.2">
      <c r="A153" s="2" t="s">
        <v>796</v>
      </c>
      <c r="B153" s="2" t="s">
        <v>30</v>
      </c>
      <c r="C153" s="2">
        <f>MIN(25,IF(K153&lt;=11,12,K153+2))</f>
        <v>25</v>
      </c>
      <c r="D153" s="2" t="s">
        <v>797</v>
      </c>
      <c r="E153" s="2" t="s">
        <v>111</v>
      </c>
      <c r="F153" s="2" t="s">
        <v>92</v>
      </c>
      <c r="G153" s="2" t="s">
        <v>34</v>
      </c>
      <c r="H153" s="2" t="s">
        <v>215</v>
      </c>
      <c r="J153" s="2" t="s">
        <v>473</v>
      </c>
      <c r="K153" s="2">
        <f>MIN(25,ROUNDUP(J153/12,0))</f>
        <v>25</v>
      </c>
      <c r="L153" s="2">
        <f>C153-K153</f>
        <v>0</v>
      </c>
    </row>
    <row r="154" spans="1:12" x14ac:dyDescent="0.2">
      <c r="A154" s="2" t="s">
        <v>804</v>
      </c>
      <c r="B154" s="2" t="s">
        <v>30</v>
      </c>
      <c r="C154" s="2">
        <f>MIN(25,IF(K154&lt;=11,12,K154+2))</f>
        <v>25</v>
      </c>
      <c r="D154" s="2" t="s">
        <v>805</v>
      </c>
      <c r="E154" s="2" t="s">
        <v>177</v>
      </c>
      <c r="F154" s="2" t="s">
        <v>92</v>
      </c>
      <c r="G154" s="2" t="s">
        <v>34</v>
      </c>
      <c r="H154" s="2" t="s">
        <v>215</v>
      </c>
      <c r="J154" s="2" t="s">
        <v>806</v>
      </c>
      <c r="K154" s="2">
        <f>MIN(25,ROUNDUP(J154/12,0))</f>
        <v>25</v>
      </c>
      <c r="L154" s="2">
        <f>C154-K154</f>
        <v>0</v>
      </c>
    </row>
    <row r="155" spans="1:12" x14ac:dyDescent="0.2">
      <c r="A155" s="2" t="s">
        <v>817</v>
      </c>
      <c r="B155" s="2" t="s">
        <v>129</v>
      </c>
      <c r="C155" s="2">
        <f>MIN(25,IF(K155&lt;=11,12,K155+2))</f>
        <v>25</v>
      </c>
      <c r="D155" s="2" t="s">
        <v>818</v>
      </c>
      <c r="E155" s="2" t="s">
        <v>274</v>
      </c>
      <c r="F155" s="2" t="s">
        <v>82</v>
      </c>
      <c r="G155" s="2" t="s">
        <v>134</v>
      </c>
      <c r="H155" s="2" t="s">
        <v>215</v>
      </c>
      <c r="J155" s="2" t="s">
        <v>819</v>
      </c>
      <c r="K155" s="2">
        <f>MIN(25,ROUNDUP(J155/12,0))</f>
        <v>25</v>
      </c>
      <c r="L155" s="2">
        <f>C155-K155</f>
        <v>0</v>
      </c>
    </row>
    <row r="156" spans="1:12" x14ac:dyDescent="0.2">
      <c r="A156" s="2" t="s">
        <v>826</v>
      </c>
      <c r="B156" s="2" t="s">
        <v>44</v>
      </c>
      <c r="C156" s="2">
        <f>MIN(25,IF(K156&lt;=11,12,K156+2))</f>
        <v>25</v>
      </c>
      <c r="D156" s="2" t="s">
        <v>827</v>
      </c>
      <c r="E156" s="2" t="s">
        <v>103</v>
      </c>
      <c r="F156" s="2" t="s">
        <v>92</v>
      </c>
      <c r="G156" s="2" t="s">
        <v>48</v>
      </c>
      <c r="H156" s="2" t="s">
        <v>215</v>
      </c>
      <c r="J156" s="2" t="s">
        <v>828</v>
      </c>
      <c r="K156" s="2">
        <f>MIN(25,ROUNDUP(J156/12,0))</f>
        <v>25</v>
      </c>
      <c r="L156" s="2">
        <f>C156-K156</f>
        <v>0</v>
      </c>
    </row>
    <row r="157" spans="1:12" x14ac:dyDescent="0.2">
      <c r="A157" s="2" t="s">
        <v>829</v>
      </c>
      <c r="B157" s="2" t="s">
        <v>13</v>
      </c>
      <c r="C157" s="2">
        <f>MIN(25,IF(K157&lt;=11,12,K157+2))</f>
        <v>25</v>
      </c>
      <c r="D157" s="2" t="s">
        <v>830</v>
      </c>
      <c r="E157" s="2" t="s">
        <v>194</v>
      </c>
      <c r="F157" s="2" t="s">
        <v>47</v>
      </c>
      <c r="G157" s="2" t="s">
        <v>18</v>
      </c>
      <c r="H157" s="2" t="s">
        <v>215</v>
      </c>
      <c r="J157" s="2" t="s">
        <v>831</v>
      </c>
      <c r="K157" s="2">
        <f>MIN(25,ROUNDUP(J157/12,0))</f>
        <v>25</v>
      </c>
      <c r="L157" s="2">
        <f>C157-K157</f>
        <v>0</v>
      </c>
    </row>
    <row r="158" spans="1:12" x14ac:dyDescent="0.2">
      <c r="A158" s="2" t="s">
        <v>841</v>
      </c>
      <c r="B158" s="2" t="s">
        <v>59</v>
      </c>
      <c r="C158" s="2">
        <f>MIN(25,IF(K158&lt;=11,12,K158+2))</f>
        <v>25</v>
      </c>
      <c r="D158" s="2" t="s">
        <v>842</v>
      </c>
      <c r="E158" s="2" t="s">
        <v>194</v>
      </c>
      <c r="F158" s="2" t="s">
        <v>82</v>
      </c>
      <c r="G158" s="2" t="s">
        <v>63</v>
      </c>
      <c r="H158" s="2" t="s">
        <v>215</v>
      </c>
      <c r="J158" s="2" t="s">
        <v>843</v>
      </c>
      <c r="K158" s="2">
        <f>MIN(25,ROUNDUP(J158/12,0))</f>
        <v>25</v>
      </c>
      <c r="L158" s="2">
        <f>C158-K158</f>
        <v>0</v>
      </c>
    </row>
    <row r="159" spans="1:12" x14ac:dyDescent="0.2">
      <c r="A159" s="2" t="s">
        <v>850</v>
      </c>
      <c r="B159" s="2" t="s">
        <v>114</v>
      </c>
      <c r="C159" s="2">
        <f>MIN(25,IF(K159&lt;=11,12,K159+2))</f>
        <v>25</v>
      </c>
      <c r="D159" s="2" t="s">
        <v>851</v>
      </c>
      <c r="E159" s="2" t="s">
        <v>177</v>
      </c>
      <c r="F159" s="2" t="s">
        <v>82</v>
      </c>
      <c r="G159" s="2" t="s">
        <v>116</v>
      </c>
      <c r="H159" s="2" t="s">
        <v>215</v>
      </c>
      <c r="J159" s="2" t="s">
        <v>473</v>
      </c>
      <c r="K159" s="2">
        <f>MIN(25,ROUNDUP(J159/12,0))</f>
        <v>25</v>
      </c>
      <c r="L159" s="2">
        <f>C159-K159</f>
        <v>0</v>
      </c>
    </row>
    <row r="160" spans="1:12" x14ac:dyDescent="0.2">
      <c r="A160" s="2" t="s">
        <v>857</v>
      </c>
      <c r="B160" s="2" t="s">
        <v>67</v>
      </c>
      <c r="C160" s="2">
        <f>MIN(25,IF(K160&lt;=11,12,K160+2))</f>
        <v>25</v>
      </c>
      <c r="D160" s="2" t="s">
        <v>858</v>
      </c>
      <c r="E160" s="2" t="s">
        <v>111</v>
      </c>
      <c r="F160" s="2" t="s">
        <v>92</v>
      </c>
      <c r="G160" s="2" t="s">
        <v>71</v>
      </c>
      <c r="H160" s="2" t="s">
        <v>215</v>
      </c>
      <c r="J160" s="2" t="s">
        <v>859</v>
      </c>
      <c r="K160" s="2">
        <f>MIN(25,ROUNDUP(J160/12,0))</f>
        <v>25</v>
      </c>
      <c r="L160" s="2">
        <f>C160-K160</f>
        <v>0</v>
      </c>
    </row>
    <row r="161" spans="1:12" x14ac:dyDescent="0.2">
      <c r="A161" s="2" t="s">
        <v>863</v>
      </c>
      <c r="B161" s="2" t="s">
        <v>101</v>
      </c>
      <c r="C161" s="2">
        <f>MIN(25,IF(K161&lt;=11,12,K161+2))</f>
        <v>25</v>
      </c>
      <c r="D161" s="2" t="s">
        <v>864</v>
      </c>
      <c r="E161" s="2" t="s">
        <v>274</v>
      </c>
      <c r="F161" s="2" t="s">
        <v>82</v>
      </c>
      <c r="G161" s="2" t="s">
        <v>104</v>
      </c>
      <c r="H161" s="2" t="s">
        <v>215</v>
      </c>
      <c r="J161" s="2" t="s">
        <v>473</v>
      </c>
      <c r="K161" s="2">
        <f>MIN(25,ROUNDUP(J161/12,0))</f>
        <v>25</v>
      </c>
      <c r="L161" s="2">
        <f>C161-K161</f>
        <v>0</v>
      </c>
    </row>
    <row r="162" spans="1:12" x14ac:dyDescent="0.2">
      <c r="A162" s="2" t="s">
        <v>865</v>
      </c>
      <c r="B162" s="2" t="s">
        <v>30</v>
      </c>
      <c r="C162" s="2">
        <f>MIN(25,IF(K162&lt;=11,12,K162+2))</f>
        <v>25</v>
      </c>
      <c r="D162" s="2" t="s">
        <v>866</v>
      </c>
      <c r="E162" s="2" t="s">
        <v>236</v>
      </c>
      <c r="F162" s="2" t="s">
        <v>82</v>
      </c>
      <c r="G162" s="2" t="s">
        <v>34</v>
      </c>
      <c r="H162" s="2" t="s">
        <v>215</v>
      </c>
      <c r="J162" s="2" t="s">
        <v>473</v>
      </c>
      <c r="K162" s="2">
        <f>MIN(25,ROUNDUP(J162/12,0))</f>
        <v>25</v>
      </c>
      <c r="L162" s="2">
        <f>C162-K162</f>
        <v>0</v>
      </c>
    </row>
    <row r="163" spans="1:12" x14ac:dyDescent="0.2">
      <c r="A163" s="2" t="s">
        <v>876</v>
      </c>
      <c r="B163" s="2" t="s">
        <v>80</v>
      </c>
      <c r="C163" s="2">
        <f>MIN(25,IF(K163&lt;=11,12,K163+2))</f>
        <v>25</v>
      </c>
      <c r="D163" s="2" t="s">
        <v>877</v>
      </c>
      <c r="E163" s="2" t="s">
        <v>172</v>
      </c>
      <c r="F163" s="2" t="s">
        <v>92</v>
      </c>
      <c r="G163" s="2" t="s">
        <v>83</v>
      </c>
      <c r="H163" s="2" t="s">
        <v>215</v>
      </c>
      <c r="J163" s="2" t="s">
        <v>473</v>
      </c>
      <c r="K163" s="2">
        <f>MIN(25,ROUNDUP(J163/12,0))</f>
        <v>25</v>
      </c>
      <c r="L163" s="2">
        <f>C163-K163</f>
        <v>0</v>
      </c>
    </row>
    <row r="164" spans="1:12" x14ac:dyDescent="0.2">
      <c r="A164" s="2" t="s">
        <v>878</v>
      </c>
      <c r="B164" s="2" t="s">
        <v>67</v>
      </c>
      <c r="C164" s="2">
        <f>MIN(25,IF(K164&lt;=11,12,K164+2))</f>
        <v>25</v>
      </c>
      <c r="D164" s="2" t="s">
        <v>879</v>
      </c>
      <c r="E164" s="2" t="s">
        <v>54</v>
      </c>
      <c r="F164" s="2" t="s">
        <v>92</v>
      </c>
      <c r="G164" s="2" t="s">
        <v>71</v>
      </c>
      <c r="H164" s="2" t="s">
        <v>215</v>
      </c>
      <c r="J164" s="2" t="s">
        <v>473</v>
      </c>
      <c r="K164" s="2">
        <f>MIN(25,ROUNDUP(J164/12,0))</f>
        <v>25</v>
      </c>
      <c r="L164" s="2">
        <f>C164-K164</f>
        <v>0</v>
      </c>
    </row>
    <row r="165" spans="1:12" x14ac:dyDescent="0.2">
      <c r="A165" s="2" t="s">
        <v>882</v>
      </c>
      <c r="B165" s="2" t="s">
        <v>23</v>
      </c>
      <c r="C165" s="2">
        <f>MIN(25,IF(K165&lt;=11,12,K165+2))</f>
        <v>25</v>
      </c>
      <c r="D165" s="2" t="s">
        <v>883</v>
      </c>
      <c r="E165" s="2" t="s">
        <v>243</v>
      </c>
      <c r="F165" s="2" t="s">
        <v>47</v>
      </c>
      <c r="G165" s="2" t="s">
        <v>27</v>
      </c>
      <c r="H165" s="2" t="s">
        <v>215</v>
      </c>
      <c r="J165" s="2" t="s">
        <v>653</v>
      </c>
      <c r="K165" s="2">
        <f>MIN(25,ROUNDUP(J165/12,0))</f>
        <v>25</v>
      </c>
      <c r="L165" s="2">
        <f>C165-K165</f>
        <v>0</v>
      </c>
    </row>
    <row r="166" spans="1:12" x14ac:dyDescent="0.2">
      <c r="A166" s="2" t="s">
        <v>897</v>
      </c>
      <c r="B166" s="2" t="s">
        <v>129</v>
      </c>
      <c r="C166" s="2">
        <f>MIN(25,IF(K166&lt;=11,12,K166+2))</f>
        <v>25</v>
      </c>
      <c r="D166" s="2" t="s">
        <v>898</v>
      </c>
      <c r="E166" s="2" t="s">
        <v>46</v>
      </c>
      <c r="F166" s="2" t="s">
        <v>82</v>
      </c>
      <c r="G166" s="2" t="s">
        <v>134</v>
      </c>
      <c r="H166" s="2" t="s">
        <v>215</v>
      </c>
      <c r="J166" s="2" t="s">
        <v>899</v>
      </c>
      <c r="K166" s="2">
        <f>MIN(25,ROUNDUP(J166/12,0))</f>
        <v>25</v>
      </c>
      <c r="L166" s="2">
        <f>C166-K166</f>
        <v>0</v>
      </c>
    </row>
    <row r="167" spans="1:12" x14ac:dyDescent="0.2">
      <c r="A167" s="2" t="s">
        <v>903</v>
      </c>
      <c r="B167" s="2" t="s">
        <v>80</v>
      </c>
      <c r="C167" s="2">
        <f>MIN(25,IF(K167&lt;=11,12,K167+2))</f>
        <v>25</v>
      </c>
      <c r="D167" s="2" t="s">
        <v>904</v>
      </c>
      <c r="E167" s="2" t="s">
        <v>454</v>
      </c>
      <c r="F167" s="2" t="s">
        <v>92</v>
      </c>
      <c r="G167" s="2" t="s">
        <v>83</v>
      </c>
      <c r="H167" s="2" t="s">
        <v>215</v>
      </c>
      <c r="J167" s="2" t="s">
        <v>905</v>
      </c>
      <c r="K167" s="2">
        <f>MIN(25,ROUNDUP(J167/12,0))</f>
        <v>25</v>
      </c>
      <c r="L167" s="2">
        <f>C167-K167</f>
        <v>0</v>
      </c>
    </row>
    <row r="168" spans="1:12" x14ac:dyDescent="0.2">
      <c r="A168" s="2" t="s">
        <v>906</v>
      </c>
      <c r="B168" s="2" t="s">
        <v>59</v>
      </c>
      <c r="C168" s="2">
        <f>MIN(25,IF(K168&lt;=11,12,K168+2))</f>
        <v>25</v>
      </c>
      <c r="D168" s="2" t="s">
        <v>907</v>
      </c>
      <c r="E168" s="2" t="s">
        <v>97</v>
      </c>
      <c r="F168" s="2" t="s">
        <v>82</v>
      </c>
      <c r="G168" s="2" t="s">
        <v>63</v>
      </c>
      <c r="H168" s="2" t="s">
        <v>215</v>
      </c>
      <c r="J168" s="2" t="s">
        <v>473</v>
      </c>
      <c r="K168" s="2">
        <f>MIN(25,ROUNDUP(J168/12,0))</f>
        <v>25</v>
      </c>
      <c r="L168" s="2">
        <f>C168-K168</f>
        <v>0</v>
      </c>
    </row>
    <row r="169" spans="1:12" x14ac:dyDescent="0.2">
      <c r="A169" s="2" t="s">
        <v>911</v>
      </c>
      <c r="B169" s="2" t="s">
        <v>23</v>
      </c>
      <c r="C169" s="2">
        <f>MIN(25,IF(K169&lt;=11,12,K169+2))</f>
        <v>25</v>
      </c>
      <c r="D169" s="2" t="s">
        <v>912</v>
      </c>
      <c r="E169" s="2" t="s">
        <v>91</v>
      </c>
      <c r="F169" s="2" t="s">
        <v>82</v>
      </c>
      <c r="G169" s="2" t="s">
        <v>27</v>
      </c>
      <c r="H169" s="2" t="s">
        <v>215</v>
      </c>
      <c r="J169" s="2" t="s">
        <v>473</v>
      </c>
      <c r="K169" s="2">
        <f>MIN(25,ROUNDUP(J169/12,0))</f>
        <v>25</v>
      </c>
      <c r="L169" s="2">
        <f>C169-K169</f>
        <v>0</v>
      </c>
    </row>
    <row r="170" spans="1:12" x14ac:dyDescent="0.2">
      <c r="A170" s="2" t="s">
        <v>920</v>
      </c>
      <c r="B170" s="2" t="s">
        <v>30</v>
      </c>
      <c r="C170" s="2">
        <f>MIN(25,IF(K170&lt;=11,12,K170+2))</f>
        <v>25</v>
      </c>
      <c r="D170" s="2" t="s">
        <v>921</v>
      </c>
      <c r="E170" s="2" t="s">
        <v>33</v>
      </c>
      <c r="F170" s="2" t="s">
        <v>82</v>
      </c>
      <c r="G170" s="2" t="s">
        <v>34</v>
      </c>
      <c r="H170" s="2" t="s">
        <v>215</v>
      </c>
      <c r="J170" s="2" t="s">
        <v>922</v>
      </c>
      <c r="K170" s="2">
        <f>MIN(25,ROUNDUP(J170/12,0))</f>
        <v>25</v>
      </c>
      <c r="L170" s="2">
        <f>C170-K170</f>
        <v>0</v>
      </c>
    </row>
    <row r="171" spans="1:12" x14ac:dyDescent="0.2">
      <c r="A171" s="2" t="s">
        <v>923</v>
      </c>
      <c r="B171" s="2" t="s">
        <v>101</v>
      </c>
      <c r="C171" s="2">
        <f>MIN(25,IF(K171&lt;=11,12,K171+2))</f>
        <v>25</v>
      </c>
      <c r="D171" s="2" t="s">
        <v>924</v>
      </c>
      <c r="E171" s="2" t="s">
        <v>168</v>
      </c>
      <c r="F171" s="2" t="s">
        <v>82</v>
      </c>
      <c r="G171" s="2" t="s">
        <v>104</v>
      </c>
      <c r="H171" s="2" t="s">
        <v>215</v>
      </c>
      <c r="J171" s="2" t="s">
        <v>473</v>
      </c>
      <c r="K171" s="2">
        <f>MIN(25,ROUNDUP(J171/12,0))</f>
        <v>25</v>
      </c>
      <c r="L171" s="2">
        <f>C171-K171</f>
        <v>0</v>
      </c>
    </row>
    <row r="172" spans="1:12" x14ac:dyDescent="0.2">
      <c r="A172" s="2" t="s">
        <v>928</v>
      </c>
      <c r="B172" s="2" t="s">
        <v>80</v>
      </c>
      <c r="C172" s="2">
        <f>MIN(25,IF(K172&lt;=11,12,K172+2))</f>
        <v>25</v>
      </c>
      <c r="D172" s="2" t="s">
        <v>929</v>
      </c>
      <c r="E172" s="2" t="s">
        <v>288</v>
      </c>
      <c r="F172" s="2" t="s">
        <v>47</v>
      </c>
      <c r="G172" s="2" t="s">
        <v>83</v>
      </c>
      <c r="H172" s="2" t="s">
        <v>215</v>
      </c>
      <c r="J172" s="2" t="s">
        <v>930</v>
      </c>
      <c r="K172" s="2">
        <f>MIN(25,ROUNDUP(J172/12,0))</f>
        <v>25</v>
      </c>
      <c r="L172" s="2">
        <f>C172-K172</f>
        <v>0</v>
      </c>
    </row>
    <row r="173" spans="1:12" x14ac:dyDescent="0.2">
      <c r="A173" s="2" t="s">
        <v>955</v>
      </c>
      <c r="B173" s="2" t="s">
        <v>129</v>
      </c>
      <c r="C173" s="2">
        <f>MIN(25,IF(K173&lt;=11,12,K173+2))</f>
        <v>25</v>
      </c>
      <c r="D173" s="2" t="s">
        <v>956</v>
      </c>
      <c r="E173" s="2" t="s">
        <v>243</v>
      </c>
      <c r="F173" s="2" t="s">
        <v>82</v>
      </c>
      <c r="G173" s="2" t="s">
        <v>134</v>
      </c>
      <c r="H173" s="2" t="s">
        <v>215</v>
      </c>
      <c r="J173" s="2" t="s">
        <v>957</v>
      </c>
      <c r="K173" s="2">
        <f>MIN(25,ROUNDUP(J173/12,0))</f>
        <v>25</v>
      </c>
      <c r="L173" s="2">
        <f>C173-K173</f>
        <v>0</v>
      </c>
    </row>
    <row r="174" spans="1:12" x14ac:dyDescent="0.2">
      <c r="A174" s="2" t="s">
        <v>958</v>
      </c>
      <c r="B174" s="2" t="s">
        <v>23</v>
      </c>
      <c r="C174" s="2">
        <f>MIN(25,IF(K174&lt;=11,12,K174+2))</f>
        <v>25</v>
      </c>
      <c r="D174" s="2" t="s">
        <v>959</v>
      </c>
      <c r="E174" s="2" t="s">
        <v>132</v>
      </c>
      <c r="F174" s="2" t="s">
        <v>82</v>
      </c>
      <c r="G174" s="2" t="s">
        <v>27</v>
      </c>
      <c r="H174" s="2" t="s">
        <v>215</v>
      </c>
      <c r="J174" s="2" t="s">
        <v>960</v>
      </c>
      <c r="K174" s="2">
        <f>MIN(25,ROUNDUP(J174/12,0))</f>
        <v>25</v>
      </c>
      <c r="L174" s="2">
        <f>C174-K174</f>
        <v>0</v>
      </c>
    </row>
    <row r="175" spans="1:12" x14ac:dyDescent="0.2">
      <c r="A175" s="2" t="s">
        <v>961</v>
      </c>
      <c r="B175" s="2" t="s">
        <v>59</v>
      </c>
      <c r="C175" s="2">
        <f>MIN(25,IF(K175&lt;=11,12,K175+2))</f>
        <v>25</v>
      </c>
      <c r="D175" s="2" t="s">
        <v>962</v>
      </c>
      <c r="E175" s="2" t="s">
        <v>288</v>
      </c>
      <c r="F175" s="2" t="s">
        <v>963</v>
      </c>
      <c r="G175" s="2" t="s">
        <v>63</v>
      </c>
      <c r="H175" s="2" t="s">
        <v>215</v>
      </c>
      <c r="J175" s="2" t="s">
        <v>708</v>
      </c>
      <c r="K175" s="2">
        <f>MIN(25,ROUNDUP(J175/12,0))</f>
        <v>25</v>
      </c>
      <c r="L175" s="2">
        <f>C175-K175</f>
        <v>0</v>
      </c>
    </row>
    <row r="176" spans="1:12" x14ac:dyDescent="0.2">
      <c r="A176" s="2" t="s">
        <v>964</v>
      </c>
      <c r="B176" s="2" t="s">
        <v>74</v>
      </c>
      <c r="C176" s="2">
        <f>MIN(25,IF(K176&lt;=11,12,K176+2))</f>
        <v>25</v>
      </c>
      <c r="D176" s="2" t="s">
        <v>965</v>
      </c>
      <c r="E176" s="2" t="s">
        <v>46</v>
      </c>
      <c r="F176" s="2" t="s">
        <v>26</v>
      </c>
      <c r="G176" s="2" t="s">
        <v>77</v>
      </c>
      <c r="H176" s="2" t="s">
        <v>215</v>
      </c>
      <c r="J176" s="2" t="s">
        <v>966</v>
      </c>
      <c r="K176" s="2">
        <f>MIN(25,ROUNDUP(J176/12,0))</f>
        <v>25</v>
      </c>
      <c r="L176" s="2">
        <f>C176-K176</f>
        <v>0</v>
      </c>
    </row>
    <row r="177" spans="1:12" x14ac:dyDescent="0.2">
      <c r="A177" s="2" t="s">
        <v>970</v>
      </c>
      <c r="B177" s="2" t="s">
        <v>129</v>
      </c>
      <c r="C177" s="2">
        <f>MIN(25,IF(K177&lt;=11,12,K177+2))</f>
        <v>25</v>
      </c>
      <c r="D177" s="2" t="s">
        <v>971</v>
      </c>
      <c r="E177" s="2" t="s">
        <v>70</v>
      </c>
      <c r="F177" s="2" t="s">
        <v>82</v>
      </c>
      <c r="G177" s="2" t="s">
        <v>134</v>
      </c>
      <c r="H177" s="2" t="s">
        <v>215</v>
      </c>
      <c r="J177" s="2" t="s">
        <v>473</v>
      </c>
      <c r="K177" s="2">
        <f>MIN(25,ROUNDUP(J177/12,0))</f>
        <v>25</v>
      </c>
      <c r="L177" s="2">
        <f>C177-K177</f>
        <v>0</v>
      </c>
    </row>
    <row r="178" spans="1:12" x14ac:dyDescent="0.2">
      <c r="A178" s="2" t="s">
        <v>972</v>
      </c>
      <c r="B178" s="2" t="s">
        <v>101</v>
      </c>
      <c r="C178" s="2">
        <f>MIN(25,IF(K178&lt;=11,12,K178+2))</f>
        <v>25</v>
      </c>
      <c r="D178" s="2" t="s">
        <v>973</v>
      </c>
      <c r="E178" s="2" t="s">
        <v>33</v>
      </c>
      <c r="F178" s="2" t="s">
        <v>92</v>
      </c>
      <c r="G178" s="2" t="s">
        <v>104</v>
      </c>
      <c r="H178" s="2" t="s">
        <v>215</v>
      </c>
      <c r="J178" s="2" t="s">
        <v>974</v>
      </c>
      <c r="K178" s="2">
        <f>MIN(25,ROUNDUP(J178/12,0))</f>
        <v>25</v>
      </c>
      <c r="L178" s="2">
        <f>C178-K178</f>
        <v>0</v>
      </c>
    </row>
    <row r="179" spans="1:12" x14ac:dyDescent="0.2">
      <c r="A179" s="2" t="s">
        <v>978</v>
      </c>
      <c r="B179" s="2" t="s">
        <v>59</v>
      </c>
      <c r="C179" s="2">
        <f>MIN(25,IF(K179&lt;=11,12,K179+2))</f>
        <v>25</v>
      </c>
      <c r="D179" s="2" t="s">
        <v>979</v>
      </c>
      <c r="E179" s="2" t="s">
        <v>40</v>
      </c>
      <c r="F179" s="2" t="s">
        <v>92</v>
      </c>
      <c r="G179" s="2" t="s">
        <v>63</v>
      </c>
      <c r="H179" s="2" t="s">
        <v>215</v>
      </c>
      <c r="J179" s="2" t="s">
        <v>473</v>
      </c>
      <c r="K179" s="2">
        <f>MIN(25,ROUNDUP(J179/12,0))</f>
        <v>25</v>
      </c>
      <c r="L179" s="2">
        <f>C179-K179</f>
        <v>0</v>
      </c>
    </row>
    <row r="180" spans="1:12" x14ac:dyDescent="0.2">
      <c r="A180" s="2" t="s">
        <v>980</v>
      </c>
      <c r="B180" s="2" t="s">
        <v>13</v>
      </c>
      <c r="C180" s="2">
        <f>MIN(25,IF(K180&lt;=11,12,K180+2))</f>
        <v>25</v>
      </c>
      <c r="D180" s="2" t="s">
        <v>981</v>
      </c>
      <c r="E180" s="2" t="s">
        <v>70</v>
      </c>
      <c r="F180" s="2" t="s">
        <v>173</v>
      </c>
      <c r="G180" s="2" t="s">
        <v>18</v>
      </c>
      <c r="H180" s="2" t="s">
        <v>215</v>
      </c>
      <c r="J180" s="2" t="s">
        <v>982</v>
      </c>
      <c r="K180" s="2">
        <f>MIN(25,ROUNDUP(J180/12,0))</f>
        <v>25</v>
      </c>
      <c r="L180" s="2">
        <f>C180-K180</f>
        <v>0</v>
      </c>
    </row>
    <row r="181" spans="1:12" x14ac:dyDescent="0.2">
      <c r="A181" s="2" t="s">
        <v>989</v>
      </c>
      <c r="B181" s="2" t="s">
        <v>23</v>
      </c>
      <c r="C181" s="2">
        <f>MIN(25,IF(K181&lt;=11,12,K181+2))</f>
        <v>25</v>
      </c>
      <c r="D181" s="2" t="s">
        <v>990</v>
      </c>
      <c r="E181" s="2" t="s">
        <v>16</v>
      </c>
      <c r="F181" s="2" t="s">
        <v>82</v>
      </c>
      <c r="G181" s="2" t="s">
        <v>27</v>
      </c>
      <c r="H181" s="2" t="s">
        <v>215</v>
      </c>
      <c r="J181" s="2" t="s">
        <v>473</v>
      </c>
      <c r="K181" s="2">
        <f>MIN(25,ROUNDUP(J181/12,0))</f>
        <v>25</v>
      </c>
      <c r="L181" s="2">
        <f>C181-K181</f>
        <v>0</v>
      </c>
    </row>
    <row r="182" spans="1:12" x14ac:dyDescent="0.2">
      <c r="A182" s="2" t="s">
        <v>991</v>
      </c>
      <c r="B182" s="2" t="s">
        <v>129</v>
      </c>
      <c r="C182" s="2">
        <f>MIN(25,IF(K182&lt;=11,12,K182+2))</f>
        <v>25</v>
      </c>
      <c r="D182" s="2" t="s">
        <v>992</v>
      </c>
      <c r="E182" s="2" t="s">
        <v>288</v>
      </c>
      <c r="F182" s="2" t="s">
        <v>47</v>
      </c>
      <c r="G182" s="2" t="s">
        <v>134</v>
      </c>
      <c r="H182" s="2" t="s">
        <v>215</v>
      </c>
      <c r="J182" s="2" t="s">
        <v>993</v>
      </c>
      <c r="K182" s="2">
        <f>MIN(25,ROUNDUP(J182/12,0))</f>
        <v>25</v>
      </c>
      <c r="L182" s="2">
        <f>C182-K182</f>
        <v>0</v>
      </c>
    </row>
    <row r="183" spans="1:12" x14ac:dyDescent="0.2">
      <c r="A183" s="2" t="s">
        <v>997</v>
      </c>
      <c r="B183" s="2" t="s">
        <v>67</v>
      </c>
      <c r="C183" s="2">
        <f>MIN(25,IF(K183&lt;=11,12,K183+2))</f>
        <v>25</v>
      </c>
      <c r="D183" s="2" t="s">
        <v>998</v>
      </c>
      <c r="E183" s="2" t="s">
        <v>284</v>
      </c>
      <c r="F183" s="2" t="s">
        <v>82</v>
      </c>
      <c r="G183" s="2" t="s">
        <v>71</v>
      </c>
      <c r="H183" s="2" t="s">
        <v>215</v>
      </c>
      <c r="J183" s="2" t="s">
        <v>473</v>
      </c>
      <c r="K183" s="2">
        <f>MIN(25,ROUNDUP(J183/12,0))</f>
        <v>25</v>
      </c>
      <c r="L183" s="2">
        <f>C183-K183</f>
        <v>0</v>
      </c>
    </row>
    <row r="184" spans="1:12" x14ac:dyDescent="0.2">
      <c r="A184" s="2" t="s">
        <v>1001</v>
      </c>
      <c r="B184" s="2" t="s">
        <v>13</v>
      </c>
      <c r="C184" s="2">
        <f>MIN(25,IF(K184&lt;=11,12,K184+2))</f>
        <v>25</v>
      </c>
      <c r="D184" s="2" t="s">
        <v>1002</v>
      </c>
      <c r="E184" s="2" t="s">
        <v>254</v>
      </c>
      <c r="F184" s="2" t="s">
        <v>92</v>
      </c>
      <c r="G184" s="2" t="s">
        <v>18</v>
      </c>
      <c r="H184" s="2" t="s">
        <v>215</v>
      </c>
      <c r="J184" s="2" t="s">
        <v>473</v>
      </c>
      <c r="K184" s="2">
        <f>MIN(25,ROUNDUP(J184/12,0))</f>
        <v>25</v>
      </c>
      <c r="L184" s="2">
        <f>C184-K184</f>
        <v>0</v>
      </c>
    </row>
    <row r="185" spans="1:12" x14ac:dyDescent="0.2">
      <c r="A185" s="2" t="s">
        <v>1008</v>
      </c>
      <c r="B185" s="2" t="s">
        <v>80</v>
      </c>
      <c r="C185" s="2">
        <f>MIN(25,IF(K185&lt;=11,12,K185+2))</f>
        <v>25</v>
      </c>
      <c r="D185" s="2" t="s">
        <v>1009</v>
      </c>
      <c r="E185" s="2" t="s">
        <v>335</v>
      </c>
      <c r="F185" s="2" t="s">
        <v>47</v>
      </c>
      <c r="G185" s="2" t="s">
        <v>83</v>
      </c>
      <c r="H185" s="2" t="s">
        <v>215</v>
      </c>
      <c r="J185" s="2" t="s">
        <v>1010</v>
      </c>
      <c r="K185" s="2">
        <f>MIN(25,ROUNDUP(J185/12,0))</f>
        <v>25</v>
      </c>
      <c r="L185" s="2">
        <f>C185-K185</f>
        <v>0</v>
      </c>
    </row>
    <row r="186" spans="1:12" x14ac:dyDescent="0.2">
      <c r="A186" s="2" t="s">
        <v>1014</v>
      </c>
      <c r="B186" s="2" t="s">
        <v>44</v>
      </c>
      <c r="C186" s="2">
        <f>MIN(25,IF(K186&lt;=11,12,K186+2))</f>
        <v>25</v>
      </c>
      <c r="D186" s="2" t="s">
        <v>1015</v>
      </c>
      <c r="E186" s="2" t="s">
        <v>284</v>
      </c>
      <c r="F186" s="2" t="s">
        <v>82</v>
      </c>
      <c r="G186" s="2" t="s">
        <v>48</v>
      </c>
      <c r="H186" s="2" t="s">
        <v>215</v>
      </c>
      <c r="J186" s="2" t="s">
        <v>473</v>
      </c>
      <c r="K186" s="2">
        <f>MIN(25,ROUNDUP(J186/12,0))</f>
        <v>25</v>
      </c>
      <c r="L186" s="2">
        <f>C186-K186</f>
        <v>0</v>
      </c>
    </row>
    <row r="187" spans="1:12" x14ac:dyDescent="0.2">
      <c r="A187" s="2" t="s">
        <v>1016</v>
      </c>
      <c r="B187" s="2" t="s">
        <v>74</v>
      </c>
      <c r="C187" s="2">
        <f>MIN(25,IF(K187&lt;=11,12,K187+2))</f>
        <v>25</v>
      </c>
      <c r="D187" s="2" t="s">
        <v>1017</v>
      </c>
      <c r="E187" s="2" t="s">
        <v>243</v>
      </c>
      <c r="F187" s="2" t="s">
        <v>82</v>
      </c>
      <c r="G187" s="2" t="s">
        <v>77</v>
      </c>
      <c r="H187" s="2" t="s">
        <v>215</v>
      </c>
      <c r="J187" s="2" t="s">
        <v>473</v>
      </c>
      <c r="K187" s="2">
        <f>MIN(25,ROUNDUP(J187/12,0))</f>
        <v>25</v>
      </c>
      <c r="L187" s="2">
        <f>C187-K187</f>
        <v>0</v>
      </c>
    </row>
    <row r="188" spans="1:12" x14ac:dyDescent="0.2">
      <c r="A188" s="2" t="s">
        <v>1024</v>
      </c>
      <c r="B188" s="2" t="s">
        <v>101</v>
      </c>
      <c r="C188" s="2">
        <f>MIN(25,IF(K188&lt;=11,12,K188+2))</f>
        <v>25</v>
      </c>
      <c r="D188" s="2" t="s">
        <v>1025</v>
      </c>
      <c r="E188" s="2" t="s">
        <v>172</v>
      </c>
      <c r="F188" s="2" t="s">
        <v>47</v>
      </c>
      <c r="G188" s="2" t="s">
        <v>104</v>
      </c>
      <c r="H188" s="2" t="s">
        <v>215</v>
      </c>
      <c r="J188" s="2" t="s">
        <v>473</v>
      </c>
      <c r="K188" s="2">
        <f>MIN(25,ROUNDUP(J188/12,0))</f>
        <v>25</v>
      </c>
      <c r="L188" s="2">
        <f>C188-K188</f>
        <v>0</v>
      </c>
    </row>
    <row r="189" spans="1:12" x14ac:dyDescent="0.2">
      <c r="A189" s="2" t="s">
        <v>1029</v>
      </c>
      <c r="B189" s="2" t="s">
        <v>13</v>
      </c>
      <c r="C189" s="2">
        <f>MIN(25,IF(K189&lt;=11,12,K189+2))</f>
        <v>25</v>
      </c>
      <c r="D189" s="2" t="s">
        <v>1030</v>
      </c>
      <c r="E189" s="2" t="s">
        <v>121</v>
      </c>
      <c r="F189" s="2" t="s">
        <v>82</v>
      </c>
      <c r="G189" s="2" t="s">
        <v>18</v>
      </c>
      <c r="H189" s="2" t="s">
        <v>215</v>
      </c>
      <c r="J189" s="2" t="s">
        <v>1031</v>
      </c>
      <c r="K189" s="2">
        <f>MIN(25,ROUNDUP(J189/12,0))</f>
        <v>25</v>
      </c>
      <c r="L189" s="2">
        <f>C189-K189</f>
        <v>0</v>
      </c>
    </row>
    <row r="190" spans="1:12" x14ac:dyDescent="0.2">
      <c r="A190" s="2" t="s">
        <v>1035</v>
      </c>
      <c r="B190" s="2" t="s">
        <v>129</v>
      </c>
      <c r="C190" s="2">
        <f>MIN(25,IF(K190&lt;=11,12,K190+2))</f>
        <v>25</v>
      </c>
      <c r="D190" s="2" t="s">
        <v>1036</v>
      </c>
      <c r="E190" s="2" t="s">
        <v>40</v>
      </c>
      <c r="F190" s="2" t="s">
        <v>92</v>
      </c>
      <c r="G190" s="2" t="s">
        <v>134</v>
      </c>
      <c r="H190" s="2" t="s">
        <v>215</v>
      </c>
      <c r="J190" s="2" t="s">
        <v>473</v>
      </c>
      <c r="K190" s="2">
        <f>MIN(25,ROUNDUP(J190/12,0))</f>
        <v>25</v>
      </c>
      <c r="L190" s="2">
        <f>C190-K190</f>
        <v>0</v>
      </c>
    </row>
    <row r="191" spans="1:12" x14ac:dyDescent="0.2">
      <c r="A191" s="2" t="s">
        <v>1037</v>
      </c>
      <c r="B191" s="2" t="s">
        <v>74</v>
      </c>
      <c r="C191" s="2" t="s">
        <v>20</v>
      </c>
      <c r="D191" s="2" t="s">
        <v>1038</v>
      </c>
      <c r="E191" s="2" t="s">
        <v>208</v>
      </c>
      <c r="F191" s="2" t="s">
        <v>26</v>
      </c>
      <c r="G191" s="2" t="s">
        <v>77</v>
      </c>
      <c r="H191" s="2" t="s">
        <v>19</v>
      </c>
      <c r="I191" s="2" t="s">
        <v>378</v>
      </c>
      <c r="J191" s="2" t="s">
        <v>1039</v>
      </c>
      <c r="K191" s="2">
        <f>MIN(25,ROUNDUP(J191/12,0))</f>
        <v>23</v>
      </c>
      <c r="L191" s="2">
        <f>C191-K191</f>
        <v>0</v>
      </c>
    </row>
    <row r="192" spans="1:12" x14ac:dyDescent="0.2">
      <c r="A192" s="2" t="s">
        <v>1043</v>
      </c>
      <c r="B192" s="2" t="s">
        <v>74</v>
      </c>
      <c r="C192" s="2">
        <f>MIN(25,IF(K192&lt;=11,12,K192+2))</f>
        <v>25</v>
      </c>
      <c r="D192" s="2" t="s">
        <v>1044</v>
      </c>
      <c r="E192" s="2" t="s">
        <v>46</v>
      </c>
      <c r="F192" s="2" t="s">
        <v>82</v>
      </c>
      <c r="G192" s="2" t="s">
        <v>77</v>
      </c>
      <c r="H192" s="2" t="s">
        <v>215</v>
      </c>
      <c r="J192" s="2" t="s">
        <v>1045</v>
      </c>
      <c r="K192" s="2">
        <f>MIN(25,ROUNDUP(J192/12,0))</f>
        <v>25</v>
      </c>
      <c r="L192" s="2">
        <f>C192-K192</f>
        <v>0</v>
      </c>
    </row>
    <row r="193" spans="1:12" x14ac:dyDescent="0.2">
      <c r="A193" s="2" t="s">
        <v>1054</v>
      </c>
      <c r="B193" s="2" t="s">
        <v>101</v>
      </c>
      <c r="C193" s="2">
        <f>MIN(25,IF(K193&lt;=11,12,K193+2))</f>
        <v>25</v>
      </c>
      <c r="D193" s="2" t="s">
        <v>1055</v>
      </c>
      <c r="E193" s="2" t="s">
        <v>87</v>
      </c>
      <c r="F193" s="2" t="s">
        <v>92</v>
      </c>
      <c r="G193" s="2" t="s">
        <v>104</v>
      </c>
      <c r="H193" s="2" t="s">
        <v>215</v>
      </c>
      <c r="J193" s="2" t="s">
        <v>473</v>
      </c>
      <c r="K193" s="2">
        <f>MIN(25,ROUNDUP(J193/12,0))</f>
        <v>25</v>
      </c>
      <c r="L193" s="2">
        <f>C193-K193</f>
        <v>0</v>
      </c>
    </row>
    <row r="194" spans="1:12" x14ac:dyDescent="0.2">
      <c r="A194" s="2" t="s">
        <v>1062</v>
      </c>
      <c r="B194" s="2" t="s">
        <v>114</v>
      </c>
      <c r="C194" s="2">
        <f>MIN(25,IF(K194&lt;=11,12,K194+2))</f>
        <v>25</v>
      </c>
      <c r="D194" s="2" t="s">
        <v>1063</v>
      </c>
      <c r="E194" s="2" t="s">
        <v>194</v>
      </c>
      <c r="F194" s="2" t="s">
        <v>82</v>
      </c>
      <c r="G194" s="2" t="s">
        <v>116</v>
      </c>
      <c r="H194" s="2" t="s">
        <v>215</v>
      </c>
      <c r="J194" s="2" t="s">
        <v>473</v>
      </c>
      <c r="K194" s="2">
        <f>MIN(25,ROUNDUP(J194/12,0))</f>
        <v>25</v>
      </c>
      <c r="L194" s="2">
        <f>C194-K194</f>
        <v>0</v>
      </c>
    </row>
    <row r="195" spans="1:12" x14ac:dyDescent="0.2">
      <c r="A195" s="2" t="s">
        <v>1064</v>
      </c>
      <c r="B195" s="2" t="s">
        <v>80</v>
      </c>
      <c r="C195" s="2">
        <f>MIN(25,IF(K195&lt;=11,12,K195+2))</f>
        <v>25</v>
      </c>
      <c r="D195" s="2" t="s">
        <v>1065</v>
      </c>
      <c r="E195" s="2" t="s">
        <v>335</v>
      </c>
      <c r="F195" s="2" t="s">
        <v>92</v>
      </c>
      <c r="G195" s="2" t="s">
        <v>83</v>
      </c>
      <c r="H195" s="2" t="s">
        <v>215</v>
      </c>
      <c r="J195" s="2" t="s">
        <v>473</v>
      </c>
      <c r="K195" s="2">
        <f>MIN(25,ROUNDUP(J195/12,0))</f>
        <v>25</v>
      </c>
      <c r="L195" s="2">
        <f>C195-K195</f>
        <v>0</v>
      </c>
    </row>
    <row r="196" spans="1:12" x14ac:dyDescent="0.2">
      <c r="A196" s="2" t="s">
        <v>1066</v>
      </c>
      <c r="B196" s="2" t="s">
        <v>67</v>
      </c>
      <c r="C196" s="2">
        <f>MIN(25,IF(K196&lt;=11,12,K196+2))</f>
        <v>25</v>
      </c>
      <c r="D196" s="2" t="s">
        <v>1067</v>
      </c>
      <c r="E196" s="2" t="s">
        <v>132</v>
      </c>
      <c r="F196" s="2" t="s">
        <v>47</v>
      </c>
      <c r="G196" s="2" t="s">
        <v>71</v>
      </c>
      <c r="H196" s="2" t="s">
        <v>215</v>
      </c>
      <c r="J196" s="2" t="s">
        <v>1068</v>
      </c>
      <c r="K196" s="2">
        <f>MIN(25,ROUNDUP(J196/12,0))</f>
        <v>25</v>
      </c>
      <c r="L196" s="2">
        <f>C196-K196</f>
        <v>0</v>
      </c>
    </row>
    <row r="197" spans="1:12" x14ac:dyDescent="0.2">
      <c r="A197" s="2" t="s">
        <v>1069</v>
      </c>
      <c r="B197" s="2" t="s">
        <v>114</v>
      </c>
      <c r="C197" s="2">
        <f>MIN(25,IF(K197&lt;=11,12,K197+2))</f>
        <v>25</v>
      </c>
      <c r="D197" s="2" t="s">
        <v>1070</v>
      </c>
      <c r="E197" s="2" t="s">
        <v>132</v>
      </c>
      <c r="F197" s="2" t="s">
        <v>47</v>
      </c>
      <c r="G197" s="2" t="s">
        <v>116</v>
      </c>
      <c r="H197" s="2" t="s">
        <v>215</v>
      </c>
      <c r="J197" s="2" t="s">
        <v>473</v>
      </c>
      <c r="K197" s="2">
        <f>MIN(25,ROUNDUP(J197/12,0))</f>
        <v>25</v>
      </c>
      <c r="L197" s="2">
        <f>C197-K197</f>
        <v>0</v>
      </c>
    </row>
    <row r="198" spans="1:12" x14ac:dyDescent="0.2">
      <c r="A198" s="2" t="s">
        <v>1071</v>
      </c>
      <c r="B198" s="2" t="s">
        <v>114</v>
      </c>
      <c r="C198" s="2">
        <f>MIN(25,IF(K198&lt;=11,12,K198+2))</f>
        <v>25</v>
      </c>
      <c r="D198" s="2" t="s">
        <v>1072</v>
      </c>
      <c r="E198" s="2" t="s">
        <v>236</v>
      </c>
      <c r="F198" s="2" t="s">
        <v>181</v>
      </c>
      <c r="G198" s="2" t="s">
        <v>116</v>
      </c>
      <c r="H198" s="2" t="s">
        <v>215</v>
      </c>
      <c r="J198" s="2" t="s">
        <v>1073</v>
      </c>
      <c r="K198" s="2">
        <f>MIN(25,ROUNDUP(J198/12,0))</f>
        <v>25</v>
      </c>
      <c r="L198" s="2">
        <f>C198-K198</f>
        <v>0</v>
      </c>
    </row>
    <row r="199" spans="1:12" x14ac:dyDescent="0.2">
      <c r="A199" s="2" t="s">
        <v>1074</v>
      </c>
      <c r="B199" s="2" t="s">
        <v>80</v>
      </c>
      <c r="C199" s="2">
        <f>MIN(25,IF(K199&lt;=11,12,K199+2))</f>
        <v>25</v>
      </c>
      <c r="D199" s="2" t="s">
        <v>1075</v>
      </c>
      <c r="E199" s="2" t="s">
        <v>132</v>
      </c>
      <c r="F199" s="2" t="s">
        <v>1076</v>
      </c>
      <c r="G199" s="2" t="s">
        <v>83</v>
      </c>
      <c r="H199" s="2" t="s">
        <v>215</v>
      </c>
      <c r="J199" s="2" t="s">
        <v>473</v>
      </c>
      <c r="K199" s="2">
        <f>MIN(25,ROUNDUP(J199/12,0))</f>
        <v>25</v>
      </c>
      <c r="L199" s="2">
        <f>C199-K199</f>
        <v>0</v>
      </c>
    </row>
    <row r="200" spans="1:12" x14ac:dyDescent="0.2">
      <c r="A200" s="2" t="s">
        <v>1077</v>
      </c>
      <c r="B200" s="2" t="s">
        <v>114</v>
      </c>
      <c r="C200" s="2">
        <f>MIN(25,IF(K200&lt;=11,12,K200+2))</f>
        <v>25</v>
      </c>
      <c r="D200" s="2" t="s">
        <v>1078</v>
      </c>
      <c r="E200" s="2" t="s">
        <v>194</v>
      </c>
      <c r="F200" s="2" t="s">
        <v>47</v>
      </c>
      <c r="G200" s="2" t="s">
        <v>116</v>
      </c>
      <c r="H200" s="2" t="s">
        <v>215</v>
      </c>
      <c r="J200" s="2" t="s">
        <v>1079</v>
      </c>
      <c r="K200" s="2">
        <f>MIN(25,ROUNDUP(J200/12,0))</f>
        <v>25</v>
      </c>
      <c r="L200" s="2">
        <f>C200-K200</f>
        <v>0</v>
      </c>
    </row>
    <row r="201" spans="1:12" x14ac:dyDescent="0.2">
      <c r="A201" s="2" t="s">
        <v>1080</v>
      </c>
      <c r="B201" s="2" t="s">
        <v>30</v>
      </c>
      <c r="C201" s="2">
        <f>MIN(25,IF(K201&lt;=11,12,K201+2))</f>
        <v>25</v>
      </c>
      <c r="D201" s="2" t="s">
        <v>1081</v>
      </c>
      <c r="E201" s="2" t="s">
        <v>25</v>
      </c>
      <c r="F201" s="2" t="s">
        <v>1082</v>
      </c>
      <c r="G201" s="2" t="s">
        <v>34</v>
      </c>
      <c r="H201" s="2" t="s">
        <v>215</v>
      </c>
      <c r="J201" s="2" t="s">
        <v>473</v>
      </c>
      <c r="K201" s="2">
        <f>MIN(25,ROUNDUP(J201/12,0))</f>
        <v>25</v>
      </c>
      <c r="L201" s="2">
        <f>C201-K201</f>
        <v>0</v>
      </c>
    </row>
    <row r="202" spans="1:12" x14ac:dyDescent="0.2">
      <c r="A202" s="2" t="s">
        <v>1083</v>
      </c>
      <c r="B202" s="2" t="s">
        <v>80</v>
      </c>
      <c r="C202" s="2">
        <f>MIN(25,IF(K202&lt;=11,12,K202+2))</f>
        <v>25</v>
      </c>
      <c r="D202" s="2" t="s">
        <v>1084</v>
      </c>
      <c r="E202" s="2" t="s">
        <v>62</v>
      </c>
      <c r="F202" s="2" t="s">
        <v>92</v>
      </c>
      <c r="G202" s="2" t="s">
        <v>83</v>
      </c>
      <c r="H202" s="2" t="s">
        <v>215</v>
      </c>
      <c r="J202" s="2" t="s">
        <v>473</v>
      </c>
      <c r="K202" s="2">
        <f>MIN(25,ROUNDUP(J202/12,0))</f>
        <v>25</v>
      </c>
      <c r="L202" s="2">
        <f>C202-K202</f>
        <v>0</v>
      </c>
    </row>
    <row r="203" spans="1:12" x14ac:dyDescent="0.2">
      <c r="A203" s="2" t="s">
        <v>1090</v>
      </c>
      <c r="B203" s="2" t="s">
        <v>114</v>
      </c>
      <c r="C203" s="2">
        <f>MIN(25,IF(K203&lt;=11,12,K203+2))</f>
        <v>25</v>
      </c>
      <c r="D203" s="2" t="s">
        <v>1091</v>
      </c>
      <c r="E203" s="2" t="s">
        <v>454</v>
      </c>
      <c r="F203" s="2" t="s">
        <v>26</v>
      </c>
      <c r="G203" s="2" t="s">
        <v>116</v>
      </c>
      <c r="H203" s="2" t="s">
        <v>215</v>
      </c>
      <c r="J203" s="2" t="s">
        <v>1092</v>
      </c>
      <c r="K203" s="2">
        <f>MIN(25,ROUNDUP(J203/12,0))</f>
        <v>25</v>
      </c>
      <c r="L203" s="2">
        <f>C203-K203</f>
        <v>0</v>
      </c>
    </row>
    <row r="204" spans="1:12" x14ac:dyDescent="0.2">
      <c r="A204" s="2" t="s">
        <v>1093</v>
      </c>
      <c r="B204" s="2" t="s">
        <v>13</v>
      </c>
      <c r="C204" s="2">
        <f>MIN(25,IF(K204&lt;=11,12,K204+2))</f>
        <v>25</v>
      </c>
      <c r="D204" s="2" t="s">
        <v>1094</v>
      </c>
      <c r="E204" s="2" t="s">
        <v>70</v>
      </c>
      <c r="F204" s="2" t="s">
        <v>82</v>
      </c>
      <c r="G204" s="2" t="s">
        <v>18</v>
      </c>
      <c r="H204" s="2" t="s">
        <v>215</v>
      </c>
      <c r="J204" s="2" t="s">
        <v>473</v>
      </c>
      <c r="K204" s="2">
        <f>MIN(25,ROUNDUP(J204/12,0))</f>
        <v>25</v>
      </c>
      <c r="L204" s="2">
        <f>C204-K204</f>
        <v>0</v>
      </c>
    </row>
    <row r="205" spans="1:12" x14ac:dyDescent="0.2">
      <c r="A205" s="2" t="s">
        <v>1095</v>
      </c>
      <c r="B205" s="2" t="s">
        <v>114</v>
      </c>
      <c r="C205" s="2">
        <f>MIN(25,IF(K205&lt;=11,12,K205+2))</f>
        <v>25</v>
      </c>
      <c r="D205" s="2" t="s">
        <v>1096</v>
      </c>
      <c r="E205" s="2" t="s">
        <v>194</v>
      </c>
      <c r="F205" s="2" t="s">
        <v>26</v>
      </c>
      <c r="G205" s="2" t="s">
        <v>116</v>
      </c>
      <c r="H205" s="2" t="s">
        <v>215</v>
      </c>
      <c r="J205" s="2" t="s">
        <v>1097</v>
      </c>
      <c r="K205" s="2">
        <f>MIN(25,ROUNDUP(J205/12,0))</f>
        <v>25</v>
      </c>
      <c r="L205" s="2">
        <f>C205-K205</f>
        <v>0</v>
      </c>
    </row>
    <row r="206" spans="1:12" x14ac:dyDescent="0.2">
      <c r="A206" s="2" t="s">
        <v>1098</v>
      </c>
      <c r="B206" s="2" t="s">
        <v>74</v>
      </c>
      <c r="C206" s="2">
        <f>MIN(25,IF(K206&lt;=11,12,K206+2))</f>
        <v>25</v>
      </c>
      <c r="D206" s="2" t="s">
        <v>1099</v>
      </c>
      <c r="E206" s="2" t="s">
        <v>274</v>
      </c>
      <c r="F206" s="2" t="s">
        <v>455</v>
      </c>
      <c r="G206" s="2" t="s">
        <v>77</v>
      </c>
      <c r="H206" s="2" t="s">
        <v>215</v>
      </c>
      <c r="J206" s="2" t="s">
        <v>473</v>
      </c>
      <c r="K206" s="2">
        <f>MIN(25,ROUNDUP(J206/12,0))</f>
        <v>25</v>
      </c>
      <c r="L206" s="2">
        <f>C206-K206</f>
        <v>0</v>
      </c>
    </row>
    <row r="207" spans="1:12" x14ac:dyDescent="0.2">
      <c r="A207" s="2" t="s">
        <v>1100</v>
      </c>
      <c r="B207" s="2" t="s">
        <v>67</v>
      </c>
      <c r="C207" s="2">
        <f>MIN(25,IF(K207&lt;=11,12,K207+2))</f>
        <v>25</v>
      </c>
      <c r="D207" s="2" t="s">
        <v>1101</v>
      </c>
      <c r="E207" s="2" t="s">
        <v>121</v>
      </c>
      <c r="F207" s="2" t="s">
        <v>82</v>
      </c>
      <c r="G207" s="2" t="s">
        <v>71</v>
      </c>
      <c r="H207" s="2" t="s">
        <v>215</v>
      </c>
      <c r="J207" s="2" t="s">
        <v>1102</v>
      </c>
      <c r="K207" s="2">
        <f>MIN(25,ROUNDUP(J207/12,0))</f>
        <v>25</v>
      </c>
      <c r="L207" s="2">
        <f>C207-K207</f>
        <v>0</v>
      </c>
    </row>
    <row r="208" spans="1:12" x14ac:dyDescent="0.2">
      <c r="A208" s="2" t="s">
        <v>1103</v>
      </c>
      <c r="B208" s="2" t="s">
        <v>67</v>
      </c>
      <c r="C208" s="2">
        <f>MIN(25,IF(K208&lt;=11,12,K208+2))</f>
        <v>25</v>
      </c>
      <c r="D208" s="2" t="s">
        <v>1104</v>
      </c>
      <c r="E208" s="2" t="s">
        <v>335</v>
      </c>
      <c r="F208" s="2" t="s">
        <v>92</v>
      </c>
      <c r="G208" s="2" t="s">
        <v>71</v>
      </c>
      <c r="H208" s="2" t="s">
        <v>215</v>
      </c>
      <c r="J208" s="2" t="s">
        <v>473</v>
      </c>
      <c r="K208" s="2">
        <f>MIN(25,ROUNDUP(J208/12,0))</f>
        <v>25</v>
      </c>
      <c r="L208" s="2">
        <f>C208-K208</f>
        <v>0</v>
      </c>
    </row>
    <row r="209" spans="1:12" x14ac:dyDescent="0.2">
      <c r="A209" s="2" t="s">
        <v>1105</v>
      </c>
      <c r="B209" s="2" t="s">
        <v>114</v>
      </c>
      <c r="C209" s="2">
        <f>MIN(25,IF(K209&lt;=11,12,K209+2))</f>
        <v>25</v>
      </c>
      <c r="D209" s="2" t="s">
        <v>1106</v>
      </c>
      <c r="E209" s="2" t="s">
        <v>201</v>
      </c>
      <c r="F209" s="2" t="s">
        <v>947</v>
      </c>
      <c r="G209" s="2" t="s">
        <v>116</v>
      </c>
      <c r="H209" s="2" t="s">
        <v>215</v>
      </c>
      <c r="J209" s="2" t="s">
        <v>1107</v>
      </c>
      <c r="K209" s="2">
        <f>MIN(25,ROUNDUP(J209/12,0))</f>
        <v>25</v>
      </c>
      <c r="L209" s="2">
        <f>C209-K209</f>
        <v>0</v>
      </c>
    </row>
    <row r="210" spans="1:12" x14ac:dyDescent="0.2">
      <c r="A210" s="2" t="s">
        <v>1108</v>
      </c>
      <c r="B210" s="2" t="s">
        <v>13</v>
      </c>
      <c r="C210" s="2">
        <f>MIN(25,IF(K210&lt;=11,12,K210+2))</f>
        <v>25</v>
      </c>
      <c r="D210" s="2" t="s">
        <v>1109</v>
      </c>
      <c r="E210" s="2" t="s">
        <v>194</v>
      </c>
      <c r="F210" s="2" t="s">
        <v>47</v>
      </c>
      <c r="G210" s="2" t="s">
        <v>18</v>
      </c>
      <c r="H210" s="2" t="s">
        <v>215</v>
      </c>
      <c r="J210" s="2" t="s">
        <v>473</v>
      </c>
      <c r="K210" s="2">
        <f>MIN(25,ROUNDUP(J210/12,0))</f>
        <v>25</v>
      </c>
      <c r="L210" s="2">
        <f>C210-K210</f>
        <v>0</v>
      </c>
    </row>
    <row r="211" spans="1:12" x14ac:dyDescent="0.2">
      <c r="A211" s="2" t="s">
        <v>1110</v>
      </c>
      <c r="B211" s="2" t="s">
        <v>44</v>
      </c>
      <c r="C211" s="2">
        <f>MIN(25,IF(K211&lt;=11,12,K211+2))</f>
        <v>25</v>
      </c>
      <c r="D211" s="2" t="s">
        <v>1111</v>
      </c>
      <c r="E211" s="2" t="s">
        <v>254</v>
      </c>
      <c r="F211" s="2" t="s">
        <v>26</v>
      </c>
      <c r="G211" s="2" t="s">
        <v>48</v>
      </c>
      <c r="H211" s="2" t="s">
        <v>215</v>
      </c>
      <c r="J211" s="2" t="s">
        <v>1112</v>
      </c>
      <c r="K211" s="2">
        <f>MIN(25,ROUNDUP(J211/12,0))</f>
        <v>25</v>
      </c>
      <c r="L211" s="2">
        <f>C211-K211</f>
        <v>0</v>
      </c>
    </row>
    <row r="212" spans="1:12" x14ac:dyDescent="0.2">
      <c r="A212" s="2" t="s">
        <v>1113</v>
      </c>
      <c r="B212" s="2" t="s">
        <v>67</v>
      </c>
      <c r="C212" s="2">
        <f>MIN(25,IF(K212&lt;=11,12,K212+2))</f>
        <v>25</v>
      </c>
      <c r="D212" s="2" t="s">
        <v>1114</v>
      </c>
      <c r="E212" s="2" t="s">
        <v>243</v>
      </c>
      <c r="F212" s="2" t="s">
        <v>963</v>
      </c>
      <c r="G212" s="2" t="s">
        <v>71</v>
      </c>
      <c r="H212" s="2" t="s">
        <v>215</v>
      </c>
      <c r="J212" s="2" t="s">
        <v>473</v>
      </c>
      <c r="K212" s="2">
        <f>MIN(25,ROUNDUP(J212/12,0))</f>
        <v>25</v>
      </c>
      <c r="L212" s="2">
        <f>C212-K212</f>
        <v>0</v>
      </c>
    </row>
    <row r="213" spans="1:12" x14ac:dyDescent="0.2">
      <c r="A213" s="2" t="s">
        <v>1115</v>
      </c>
      <c r="B213" s="2" t="s">
        <v>13</v>
      </c>
      <c r="C213" s="2">
        <f>MIN(25,IF(K213&lt;=11,12,K213+2))</f>
        <v>25</v>
      </c>
      <c r="D213" s="2" t="s">
        <v>1116</v>
      </c>
      <c r="E213" s="2" t="s">
        <v>243</v>
      </c>
      <c r="F213" s="2" t="s">
        <v>26</v>
      </c>
      <c r="G213" s="2" t="s">
        <v>18</v>
      </c>
      <c r="H213" s="2" t="s">
        <v>215</v>
      </c>
      <c r="J213" s="2" t="s">
        <v>473</v>
      </c>
      <c r="K213" s="2">
        <f>MIN(25,ROUNDUP(J213/12,0))</f>
        <v>25</v>
      </c>
      <c r="L213" s="2">
        <f>C213-K213</f>
        <v>0</v>
      </c>
    </row>
    <row r="214" spans="1:12" x14ac:dyDescent="0.2">
      <c r="A214" s="2" t="s">
        <v>1117</v>
      </c>
      <c r="B214" s="2" t="s">
        <v>13</v>
      </c>
      <c r="C214" s="2">
        <f>MIN(25,IF(K214&lt;=11,12,K214+2))</f>
        <v>25</v>
      </c>
      <c r="D214" s="2" t="s">
        <v>1118</v>
      </c>
      <c r="E214" s="2" t="s">
        <v>54</v>
      </c>
      <c r="F214" s="2" t="s">
        <v>17</v>
      </c>
      <c r="G214" s="2" t="s">
        <v>18</v>
      </c>
      <c r="H214" s="2" t="s">
        <v>215</v>
      </c>
      <c r="J214" s="2" t="s">
        <v>473</v>
      </c>
      <c r="K214" s="2">
        <f>MIN(25,ROUNDUP(J214/12,0))</f>
        <v>25</v>
      </c>
      <c r="L214" s="2">
        <f>C214-K214</f>
        <v>0</v>
      </c>
    </row>
    <row r="215" spans="1:12" x14ac:dyDescent="0.2">
      <c r="A215" s="2" t="s">
        <v>1119</v>
      </c>
      <c r="B215" s="2" t="s">
        <v>114</v>
      </c>
      <c r="C215" s="2">
        <f>MIN(25,IF(K215&lt;=11,12,K215+2))</f>
        <v>25</v>
      </c>
      <c r="D215" s="2" t="s">
        <v>1120</v>
      </c>
      <c r="E215" s="2" t="s">
        <v>40</v>
      </c>
      <c r="F215" s="2" t="s">
        <v>17</v>
      </c>
      <c r="G215" s="2" t="s">
        <v>116</v>
      </c>
      <c r="H215" s="2" t="s">
        <v>215</v>
      </c>
      <c r="J215" s="2" t="s">
        <v>473</v>
      </c>
      <c r="K215" s="2">
        <f>MIN(25,ROUNDUP(J215/12,0))</f>
        <v>25</v>
      </c>
      <c r="L215" s="2">
        <f>C215-K215</f>
        <v>0</v>
      </c>
    </row>
    <row r="216" spans="1:12" x14ac:dyDescent="0.2">
      <c r="A216" s="2" t="s">
        <v>1121</v>
      </c>
      <c r="B216" s="2" t="s">
        <v>67</v>
      </c>
      <c r="C216" s="2">
        <f>MIN(25,IF(K216&lt;=11,12,K216+2))</f>
        <v>25</v>
      </c>
      <c r="D216" s="2" t="s">
        <v>1122</v>
      </c>
      <c r="E216" s="2" t="s">
        <v>243</v>
      </c>
      <c r="F216" s="2" t="s">
        <v>160</v>
      </c>
      <c r="G216" s="2" t="s">
        <v>71</v>
      </c>
      <c r="H216" s="2" t="s">
        <v>215</v>
      </c>
      <c r="J216" s="2" t="s">
        <v>1123</v>
      </c>
      <c r="K216" s="2">
        <f>MIN(25,ROUNDUP(J216/12,0))</f>
        <v>25</v>
      </c>
      <c r="L216" s="2">
        <f>C216-K216</f>
        <v>0</v>
      </c>
    </row>
    <row r="217" spans="1:12" x14ac:dyDescent="0.2">
      <c r="A217" s="2" t="s">
        <v>1124</v>
      </c>
      <c r="B217" s="2" t="s">
        <v>30</v>
      </c>
      <c r="C217" s="2">
        <f>MIN(25,IF(K217&lt;=11,12,K217+2))</f>
        <v>25</v>
      </c>
      <c r="D217" s="2" t="s">
        <v>1125</v>
      </c>
      <c r="E217" s="2" t="s">
        <v>208</v>
      </c>
      <c r="F217" s="2" t="s">
        <v>26</v>
      </c>
      <c r="G217" s="2" t="s">
        <v>34</v>
      </c>
      <c r="H217" s="2" t="s">
        <v>215</v>
      </c>
      <c r="J217" s="2" t="s">
        <v>473</v>
      </c>
      <c r="K217" s="2">
        <f>MIN(25,ROUNDUP(J217/12,0))</f>
        <v>25</v>
      </c>
      <c r="L217" s="2">
        <f>C217-K217</f>
        <v>0</v>
      </c>
    </row>
    <row r="218" spans="1:12" x14ac:dyDescent="0.2">
      <c r="A218" s="2" t="s">
        <v>1126</v>
      </c>
      <c r="B218" s="2" t="s">
        <v>30</v>
      </c>
      <c r="C218" s="2">
        <f>MIN(25,IF(K218&lt;=11,12,K218+2))</f>
        <v>25</v>
      </c>
      <c r="D218" s="2" t="s">
        <v>1127</v>
      </c>
      <c r="E218" s="2" t="s">
        <v>62</v>
      </c>
      <c r="F218" s="2" t="s">
        <v>455</v>
      </c>
      <c r="G218" s="2" t="s">
        <v>34</v>
      </c>
      <c r="H218" s="2" t="s">
        <v>215</v>
      </c>
      <c r="J218" s="2" t="s">
        <v>473</v>
      </c>
      <c r="K218" s="2">
        <f>MIN(25,ROUNDUP(J218/12,0))</f>
        <v>25</v>
      </c>
      <c r="L218" s="2">
        <f>C218-K218</f>
        <v>0</v>
      </c>
    </row>
    <row r="219" spans="1:12" x14ac:dyDescent="0.2">
      <c r="A219" s="2" t="s">
        <v>1128</v>
      </c>
      <c r="B219" s="2" t="s">
        <v>114</v>
      </c>
      <c r="C219" s="2">
        <f>MIN(25,IF(K219&lt;=11,12,K219+2))</f>
        <v>25</v>
      </c>
      <c r="D219" s="2" t="s">
        <v>1129</v>
      </c>
      <c r="E219" s="2" t="s">
        <v>87</v>
      </c>
      <c r="F219" s="2" t="s">
        <v>26</v>
      </c>
      <c r="G219" s="2" t="s">
        <v>116</v>
      </c>
      <c r="H219" s="2" t="s">
        <v>215</v>
      </c>
      <c r="J219" s="2" t="s">
        <v>473</v>
      </c>
      <c r="K219" s="2">
        <f>MIN(25,ROUNDUP(J219/12,0))</f>
        <v>25</v>
      </c>
      <c r="L219" s="2">
        <f>C219-K219</f>
        <v>0</v>
      </c>
    </row>
    <row r="220" spans="1:12" x14ac:dyDescent="0.2">
      <c r="A220" s="2" t="s">
        <v>1130</v>
      </c>
      <c r="B220" s="2" t="s">
        <v>101</v>
      </c>
      <c r="C220" s="2">
        <f>MIN(25,IF(K220&lt;=11,12,K220+2))</f>
        <v>25</v>
      </c>
      <c r="D220" s="2" t="s">
        <v>1131</v>
      </c>
      <c r="E220" s="2" t="s">
        <v>168</v>
      </c>
      <c r="F220" s="2" t="s">
        <v>47</v>
      </c>
      <c r="G220" s="2" t="s">
        <v>104</v>
      </c>
      <c r="H220" s="2" t="s">
        <v>215</v>
      </c>
      <c r="J220" s="2" t="s">
        <v>859</v>
      </c>
      <c r="K220" s="2">
        <f>MIN(25,ROUNDUP(J220/12,0))</f>
        <v>25</v>
      </c>
      <c r="L220" s="2">
        <f>C220-K220</f>
        <v>0</v>
      </c>
    </row>
    <row r="221" spans="1:12" x14ac:dyDescent="0.2">
      <c r="A221" s="2" t="s">
        <v>1132</v>
      </c>
      <c r="B221" s="2" t="s">
        <v>129</v>
      </c>
      <c r="C221" s="2">
        <f>MIN(25,IF(K221&lt;=11,12,K221+2))</f>
        <v>25</v>
      </c>
      <c r="D221" s="2" t="s">
        <v>1133</v>
      </c>
      <c r="E221" s="2" t="s">
        <v>25</v>
      </c>
      <c r="F221" s="2" t="s">
        <v>17</v>
      </c>
      <c r="G221" s="2" t="s">
        <v>134</v>
      </c>
      <c r="H221" s="2" t="s">
        <v>215</v>
      </c>
      <c r="J221" s="2" t="s">
        <v>473</v>
      </c>
      <c r="K221" s="2">
        <f>MIN(25,ROUNDUP(J221/12,0))</f>
        <v>25</v>
      </c>
      <c r="L221" s="2">
        <f>C221-K221</f>
        <v>0</v>
      </c>
    </row>
    <row r="222" spans="1:12" x14ac:dyDescent="0.2">
      <c r="A222" s="2" t="s">
        <v>1134</v>
      </c>
      <c r="B222" s="2" t="s">
        <v>129</v>
      </c>
      <c r="C222" s="2">
        <f>MIN(25,IF(K222&lt;=11,12,K222+2))</f>
        <v>25</v>
      </c>
      <c r="D222" s="2" t="s">
        <v>1135</v>
      </c>
      <c r="E222" s="2" t="s">
        <v>236</v>
      </c>
      <c r="F222" s="2" t="s">
        <v>26</v>
      </c>
      <c r="G222" s="2" t="s">
        <v>134</v>
      </c>
      <c r="H222" s="2" t="s">
        <v>215</v>
      </c>
      <c r="J222" s="2" t="s">
        <v>473</v>
      </c>
      <c r="K222" s="2">
        <f>MIN(25,ROUNDUP(J222/12,0))</f>
        <v>25</v>
      </c>
      <c r="L222" s="2">
        <f>C222-K222</f>
        <v>0</v>
      </c>
    </row>
    <row r="223" spans="1:12" x14ac:dyDescent="0.2">
      <c r="A223" s="2" t="s">
        <v>1136</v>
      </c>
      <c r="B223" s="2" t="s">
        <v>80</v>
      </c>
      <c r="C223" s="2">
        <f>MIN(25,IF(K223&lt;=11,12,K223+2))</f>
        <v>25</v>
      </c>
      <c r="D223" s="2" t="s">
        <v>1137</v>
      </c>
      <c r="E223" s="2" t="s">
        <v>151</v>
      </c>
      <c r="F223" s="2" t="s">
        <v>181</v>
      </c>
      <c r="G223" s="2" t="s">
        <v>83</v>
      </c>
      <c r="H223" s="2" t="s">
        <v>215</v>
      </c>
      <c r="J223" s="2" t="s">
        <v>1138</v>
      </c>
      <c r="K223" s="2">
        <f>MIN(25,ROUNDUP(J223/12,0))</f>
        <v>25</v>
      </c>
      <c r="L223" s="2">
        <f>C223-K223</f>
        <v>0</v>
      </c>
    </row>
    <row r="224" spans="1:12" x14ac:dyDescent="0.2">
      <c r="A224" s="2" t="s">
        <v>1139</v>
      </c>
      <c r="B224" s="2" t="s">
        <v>129</v>
      </c>
      <c r="C224" s="2">
        <f>MIN(25,IF(K224&lt;=11,12,K224+2))</f>
        <v>25</v>
      </c>
      <c r="D224" s="2" t="s">
        <v>1140</v>
      </c>
      <c r="E224" s="2" t="s">
        <v>208</v>
      </c>
      <c r="F224" s="2" t="s">
        <v>181</v>
      </c>
      <c r="G224" s="2" t="s">
        <v>134</v>
      </c>
      <c r="H224" s="2" t="s">
        <v>215</v>
      </c>
      <c r="J224" s="2" t="s">
        <v>473</v>
      </c>
      <c r="K224" s="2">
        <f>MIN(25,ROUNDUP(J224/12,0))</f>
        <v>25</v>
      </c>
      <c r="L224" s="2">
        <f>C224-K224</f>
        <v>0</v>
      </c>
    </row>
    <row r="225" spans="1:12" x14ac:dyDescent="0.2">
      <c r="A225" s="2" t="s">
        <v>1141</v>
      </c>
      <c r="B225" s="2" t="s">
        <v>129</v>
      </c>
      <c r="C225" s="2">
        <f>MIN(25,IF(K225&lt;=11,12,K225+2))</f>
        <v>25</v>
      </c>
      <c r="D225" s="2" t="s">
        <v>1142</v>
      </c>
      <c r="E225" s="2" t="s">
        <v>274</v>
      </c>
      <c r="F225" s="2" t="s">
        <v>47</v>
      </c>
      <c r="G225" s="2" t="s">
        <v>134</v>
      </c>
      <c r="H225" s="2" t="s">
        <v>215</v>
      </c>
      <c r="J225" s="2" t="s">
        <v>473</v>
      </c>
      <c r="K225" s="2">
        <f>MIN(25,ROUNDUP(J225/12,0))</f>
        <v>25</v>
      </c>
      <c r="L225" s="2">
        <f>C225-K225</f>
        <v>0</v>
      </c>
    </row>
    <row r="226" spans="1:12" x14ac:dyDescent="0.2">
      <c r="A226" s="2" t="s">
        <v>1143</v>
      </c>
      <c r="B226" s="2" t="s">
        <v>44</v>
      </c>
      <c r="C226" s="2">
        <f>MIN(25,IF(K226&lt;=11,12,K226+2))</f>
        <v>25</v>
      </c>
      <c r="D226" s="2" t="s">
        <v>1144</v>
      </c>
      <c r="E226" s="2" t="s">
        <v>177</v>
      </c>
      <c r="F226" s="2" t="s">
        <v>26</v>
      </c>
      <c r="G226" s="2" t="s">
        <v>48</v>
      </c>
      <c r="H226" s="2" t="s">
        <v>215</v>
      </c>
      <c r="J226" s="2" t="s">
        <v>473</v>
      </c>
      <c r="K226" s="2">
        <f>MIN(25,ROUNDUP(J226/12,0))</f>
        <v>25</v>
      </c>
      <c r="L226" s="2">
        <f>C226-K226</f>
        <v>0</v>
      </c>
    </row>
    <row r="227" spans="1:12" x14ac:dyDescent="0.2">
      <c r="A227" s="2" t="s">
        <v>1145</v>
      </c>
      <c r="B227" s="2" t="s">
        <v>67</v>
      </c>
      <c r="C227" s="2">
        <f>MIN(25,IF(K227&lt;=11,12,K227+2))</f>
        <v>25</v>
      </c>
      <c r="D227" s="2" t="s">
        <v>1146</v>
      </c>
      <c r="E227" s="2" t="s">
        <v>288</v>
      </c>
      <c r="F227" s="2" t="s">
        <v>444</v>
      </c>
      <c r="G227" s="2" t="s">
        <v>71</v>
      </c>
      <c r="H227" s="2" t="s">
        <v>215</v>
      </c>
      <c r="J227" s="2" t="s">
        <v>473</v>
      </c>
      <c r="K227" s="2">
        <f>MIN(25,ROUNDUP(J227/12,0))</f>
        <v>25</v>
      </c>
      <c r="L227" s="2">
        <f>C227-K227</f>
        <v>0</v>
      </c>
    </row>
    <row r="228" spans="1:12" x14ac:dyDescent="0.2">
      <c r="A228" s="2" t="s">
        <v>1147</v>
      </c>
      <c r="B228" s="2" t="s">
        <v>67</v>
      </c>
      <c r="C228" s="2">
        <f>MIN(25,IF(K228&lt;=11,12,K228+2))</f>
        <v>25</v>
      </c>
      <c r="D228" s="2" t="s">
        <v>1148</v>
      </c>
      <c r="E228" s="2" t="s">
        <v>70</v>
      </c>
      <c r="F228" s="2" t="s">
        <v>47</v>
      </c>
      <c r="G228" s="2" t="s">
        <v>71</v>
      </c>
      <c r="H228" s="2" t="s">
        <v>215</v>
      </c>
      <c r="J228" s="2" t="s">
        <v>473</v>
      </c>
      <c r="K228" s="2">
        <f>MIN(25,ROUNDUP(J228/12,0))</f>
        <v>25</v>
      </c>
      <c r="L228" s="2">
        <f>C228-K228</f>
        <v>0</v>
      </c>
    </row>
    <row r="229" spans="1:12" x14ac:dyDescent="0.2">
      <c r="A229" s="2" t="s">
        <v>1149</v>
      </c>
      <c r="B229" s="2" t="s">
        <v>23</v>
      </c>
      <c r="C229" s="2">
        <f>MIN(25,IF(K229&lt;=11,12,K229+2))</f>
        <v>25</v>
      </c>
      <c r="D229" s="2" t="s">
        <v>1150</v>
      </c>
      <c r="E229" s="2" t="s">
        <v>284</v>
      </c>
      <c r="F229" s="2" t="s">
        <v>26</v>
      </c>
      <c r="G229" s="2" t="s">
        <v>27</v>
      </c>
      <c r="H229" s="2" t="s">
        <v>215</v>
      </c>
      <c r="J229" s="2" t="s">
        <v>473</v>
      </c>
      <c r="K229" s="2">
        <f>MIN(25,ROUNDUP(J229/12,0))</f>
        <v>25</v>
      </c>
      <c r="L229" s="2">
        <f>C229-K229</f>
        <v>0</v>
      </c>
    </row>
    <row r="230" spans="1:12" x14ac:dyDescent="0.2">
      <c r="A230" s="2" t="s">
        <v>1153</v>
      </c>
      <c r="B230" s="2" t="s">
        <v>13</v>
      </c>
      <c r="C230" s="2">
        <f>MIN(25,IF(K230&lt;=11,12,K230+2))</f>
        <v>25</v>
      </c>
      <c r="D230" s="2" t="s">
        <v>1154</v>
      </c>
      <c r="E230" s="2" t="s">
        <v>54</v>
      </c>
      <c r="F230" s="2" t="s">
        <v>47</v>
      </c>
      <c r="G230" s="2" t="s">
        <v>18</v>
      </c>
      <c r="H230" s="2" t="s">
        <v>215</v>
      </c>
      <c r="J230" s="2" t="s">
        <v>473</v>
      </c>
      <c r="K230" s="2">
        <f>MIN(25,ROUNDUP(J230/12,0))</f>
        <v>25</v>
      </c>
      <c r="L230" s="2">
        <f>C230-K230</f>
        <v>0</v>
      </c>
    </row>
    <row r="231" spans="1:12" x14ac:dyDescent="0.2">
      <c r="A231" s="2" t="s">
        <v>1158</v>
      </c>
      <c r="B231" s="2" t="s">
        <v>30</v>
      </c>
      <c r="C231" s="2">
        <f>MIN(25,IF(K231&lt;=11,12,K231+2))</f>
        <v>25</v>
      </c>
      <c r="D231" s="2" t="s">
        <v>1159</v>
      </c>
      <c r="E231" s="2" t="s">
        <v>236</v>
      </c>
      <c r="F231" s="2" t="s">
        <v>47</v>
      </c>
      <c r="G231" s="2" t="s">
        <v>34</v>
      </c>
      <c r="H231" s="2" t="s">
        <v>215</v>
      </c>
      <c r="J231" s="2" t="s">
        <v>473</v>
      </c>
      <c r="K231" s="2">
        <f>MIN(25,ROUNDUP(J231/12,0))</f>
        <v>25</v>
      </c>
      <c r="L231" s="2">
        <f>C231-K231</f>
        <v>0</v>
      </c>
    </row>
    <row r="232" spans="1:12" x14ac:dyDescent="0.2">
      <c r="A232" s="2" t="s">
        <v>1160</v>
      </c>
      <c r="B232" s="2" t="s">
        <v>95</v>
      </c>
      <c r="C232" s="2">
        <f>MIN(25,IF(K232&lt;=11,12,K232+2))</f>
        <v>25</v>
      </c>
      <c r="D232" s="2" t="s">
        <v>1161</v>
      </c>
      <c r="E232" s="2" t="s">
        <v>103</v>
      </c>
      <c r="F232" s="2" t="s">
        <v>47</v>
      </c>
      <c r="G232" s="2" t="s">
        <v>98</v>
      </c>
      <c r="H232" s="2" t="s">
        <v>215</v>
      </c>
      <c r="J232" s="2" t="s">
        <v>1162</v>
      </c>
      <c r="K232" s="2">
        <f>MIN(25,ROUNDUP(J232/12,0))</f>
        <v>25</v>
      </c>
      <c r="L232" s="2">
        <f>C232-K232</f>
        <v>0</v>
      </c>
    </row>
    <row r="233" spans="1:12" x14ac:dyDescent="0.2">
      <c r="A233" s="2" t="s">
        <v>1163</v>
      </c>
      <c r="B233" s="2" t="s">
        <v>23</v>
      </c>
      <c r="C233" s="2">
        <f>MIN(25,IF(K233&lt;=11,12,K233+2))</f>
        <v>25</v>
      </c>
      <c r="D233" s="2" t="s">
        <v>1164</v>
      </c>
      <c r="E233" s="2" t="s">
        <v>151</v>
      </c>
      <c r="F233" s="2" t="s">
        <v>310</v>
      </c>
      <c r="G233" s="2" t="s">
        <v>27</v>
      </c>
      <c r="H233" s="2" t="s">
        <v>215</v>
      </c>
      <c r="J233" s="2" t="s">
        <v>473</v>
      </c>
      <c r="K233" s="2">
        <f>MIN(25,ROUNDUP(J233/12,0))</f>
        <v>25</v>
      </c>
      <c r="L233" s="2">
        <f>C233-K233</f>
        <v>0</v>
      </c>
    </row>
    <row r="234" spans="1:12" x14ac:dyDescent="0.2">
      <c r="A234" s="2" t="s">
        <v>1165</v>
      </c>
      <c r="B234" s="2" t="s">
        <v>95</v>
      </c>
      <c r="C234" s="2">
        <f>MIN(25,IF(K234&lt;=11,12,K234+2))</f>
        <v>25</v>
      </c>
      <c r="D234" s="2" t="s">
        <v>1166</v>
      </c>
      <c r="E234" s="2" t="s">
        <v>243</v>
      </c>
      <c r="F234" s="2" t="s">
        <v>160</v>
      </c>
      <c r="G234" s="2" t="s">
        <v>98</v>
      </c>
      <c r="H234" s="2" t="s">
        <v>215</v>
      </c>
      <c r="J234" s="2" t="s">
        <v>473</v>
      </c>
      <c r="K234" s="2">
        <f>MIN(25,ROUNDUP(J234/12,0))</f>
        <v>25</v>
      </c>
      <c r="L234" s="2">
        <f>C234-K234</f>
        <v>0</v>
      </c>
    </row>
    <row r="235" spans="1:12" x14ac:dyDescent="0.2">
      <c r="A235" s="2" t="s">
        <v>1167</v>
      </c>
      <c r="B235" s="2" t="s">
        <v>23</v>
      </c>
      <c r="C235" s="2">
        <f>MIN(25,IF(K235&lt;=11,12,K235+2))</f>
        <v>25</v>
      </c>
      <c r="D235" s="2" t="s">
        <v>1168</v>
      </c>
      <c r="E235" s="2" t="s">
        <v>151</v>
      </c>
      <c r="F235" s="2" t="s">
        <v>244</v>
      </c>
      <c r="G235" s="2" t="s">
        <v>27</v>
      </c>
      <c r="H235" s="2" t="s">
        <v>215</v>
      </c>
      <c r="J235" s="2" t="s">
        <v>473</v>
      </c>
      <c r="K235" s="2">
        <f>MIN(25,ROUNDUP(J235/12,0))</f>
        <v>25</v>
      </c>
      <c r="L235" s="2">
        <f>C235-K235</f>
        <v>0</v>
      </c>
    </row>
    <row r="236" spans="1:12" x14ac:dyDescent="0.2">
      <c r="A236" s="2" t="s">
        <v>1169</v>
      </c>
      <c r="B236" s="2" t="s">
        <v>23</v>
      </c>
      <c r="C236" s="2">
        <f>MIN(25,IF(K236&lt;=11,12,K236+2))</f>
        <v>25</v>
      </c>
      <c r="D236" s="2" t="s">
        <v>1170</v>
      </c>
      <c r="E236" s="2" t="s">
        <v>284</v>
      </c>
      <c r="F236" s="2" t="s">
        <v>47</v>
      </c>
      <c r="G236" s="2" t="s">
        <v>27</v>
      </c>
      <c r="H236" s="2" t="s">
        <v>215</v>
      </c>
      <c r="J236" s="2" t="s">
        <v>473</v>
      </c>
      <c r="K236" s="2">
        <f>MIN(25,ROUNDUP(J236/12,0))</f>
        <v>25</v>
      </c>
      <c r="L236" s="2">
        <f>C236-K236</f>
        <v>0</v>
      </c>
    </row>
    <row r="237" spans="1:12" x14ac:dyDescent="0.2">
      <c r="A237" s="2" t="s">
        <v>1171</v>
      </c>
      <c r="B237" s="2" t="s">
        <v>13</v>
      </c>
      <c r="C237" s="2">
        <f>MIN(25,IF(K237&lt;=11,12,K237+2))</f>
        <v>25</v>
      </c>
      <c r="D237" s="2" t="s">
        <v>1172</v>
      </c>
      <c r="E237" s="2" t="s">
        <v>87</v>
      </c>
      <c r="F237" s="2" t="s">
        <v>26</v>
      </c>
      <c r="G237" s="2" t="s">
        <v>18</v>
      </c>
      <c r="H237" s="2" t="s">
        <v>215</v>
      </c>
      <c r="J237" s="2" t="s">
        <v>473</v>
      </c>
      <c r="K237" s="2">
        <f>MIN(25,ROUNDUP(J237/12,0))</f>
        <v>25</v>
      </c>
      <c r="L237" s="2">
        <f>C237-K237</f>
        <v>0</v>
      </c>
    </row>
    <row r="238" spans="1:12" x14ac:dyDescent="0.2">
      <c r="A238" s="2" t="s">
        <v>1173</v>
      </c>
      <c r="B238" s="2" t="s">
        <v>44</v>
      </c>
      <c r="C238" s="2">
        <f>MIN(25,IF(K238&lt;=11,12,K238+2))</f>
        <v>25</v>
      </c>
      <c r="D238" s="2" t="s">
        <v>1174</v>
      </c>
      <c r="E238" s="2" t="s">
        <v>201</v>
      </c>
      <c r="F238" s="2" t="s">
        <v>47</v>
      </c>
      <c r="G238" s="2" t="s">
        <v>48</v>
      </c>
      <c r="H238" s="2" t="s">
        <v>215</v>
      </c>
      <c r="J238" s="2" t="s">
        <v>473</v>
      </c>
      <c r="K238" s="2">
        <f>MIN(25,ROUNDUP(J238/12,0))</f>
        <v>25</v>
      </c>
      <c r="L238" s="2">
        <f>C238-K238</f>
        <v>0</v>
      </c>
    </row>
    <row r="239" spans="1:12" x14ac:dyDescent="0.2">
      <c r="A239" s="2" t="s">
        <v>1177</v>
      </c>
      <c r="B239" s="2" t="s">
        <v>101</v>
      </c>
      <c r="C239" s="2">
        <f>MIN(25,IF(K239&lt;=11,12,K239+2))</f>
        <v>25</v>
      </c>
      <c r="D239" s="2" t="s">
        <v>1178</v>
      </c>
      <c r="E239" s="2" t="s">
        <v>87</v>
      </c>
      <c r="F239" s="2" t="s">
        <v>26</v>
      </c>
      <c r="G239" s="2" t="s">
        <v>104</v>
      </c>
      <c r="H239" s="2" t="s">
        <v>215</v>
      </c>
      <c r="J239" s="2" t="s">
        <v>473</v>
      </c>
      <c r="K239" s="2">
        <f>MIN(25,ROUNDUP(J239/12,0))</f>
        <v>25</v>
      </c>
      <c r="L239" s="2">
        <f>C239-K239</f>
        <v>0</v>
      </c>
    </row>
    <row r="240" spans="1:12" x14ac:dyDescent="0.2">
      <c r="A240" s="2" t="s">
        <v>1179</v>
      </c>
      <c r="B240" s="2" t="s">
        <v>95</v>
      </c>
      <c r="C240" s="2">
        <f>MIN(25,IF(K240&lt;=11,12,K240+2))</f>
        <v>25</v>
      </c>
      <c r="D240" s="2" t="s">
        <v>1180</v>
      </c>
      <c r="E240" s="2" t="s">
        <v>97</v>
      </c>
      <c r="F240" s="2" t="s">
        <v>133</v>
      </c>
      <c r="G240" s="2" t="s">
        <v>98</v>
      </c>
      <c r="H240" s="2" t="s">
        <v>215</v>
      </c>
      <c r="J240" s="2" t="s">
        <v>473</v>
      </c>
      <c r="K240" s="2">
        <f>MIN(25,ROUNDUP(J240/12,0))</f>
        <v>25</v>
      </c>
      <c r="L240" s="2">
        <f>C240-K240</f>
        <v>0</v>
      </c>
    </row>
    <row r="241" spans="1:12" x14ac:dyDescent="0.2">
      <c r="A241" s="2" t="s">
        <v>1181</v>
      </c>
      <c r="B241" s="2" t="s">
        <v>95</v>
      </c>
      <c r="C241" s="2">
        <f>MIN(25,IF(K241&lt;=11,12,K241+2))</f>
        <v>25</v>
      </c>
      <c r="D241" s="2" t="s">
        <v>1182</v>
      </c>
      <c r="E241" s="2" t="s">
        <v>151</v>
      </c>
      <c r="F241" s="2" t="s">
        <v>47</v>
      </c>
      <c r="G241" s="2" t="s">
        <v>98</v>
      </c>
      <c r="H241" s="2" t="s">
        <v>215</v>
      </c>
      <c r="J241" s="2" t="s">
        <v>473</v>
      </c>
      <c r="K241" s="2">
        <f>MIN(25,ROUNDUP(J241/12,0))</f>
        <v>25</v>
      </c>
      <c r="L241" s="2">
        <f>C241-K241</f>
        <v>0</v>
      </c>
    </row>
    <row r="242" spans="1:12" x14ac:dyDescent="0.2">
      <c r="A242" s="2" t="s">
        <v>1183</v>
      </c>
      <c r="B242" s="2" t="s">
        <v>114</v>
      </c>
      <c r="C242" s="2">
        <f>MIN(25,IF(K242&lt;=11,12,K242+2))</f>
        <v>25</v>
      </c>
      <c r="D242" s="2" t="s">
        <v>1184</v>
      </c>
      <c r="E242" s="2" t="s">
        <v>62</v>
      </c>
      <c r="F242" s="2" t="s">
        <v>17</v>
      </c>
      <c r="G242" s="2" t="s">
        <v>116</v>
      </c>
      <c r="H242" s="2" t="s">
        <v>215</v>
      </c>
      <c r="J242" s="2" t="s">
        <v>473</v>
      </c>
      <c r="K242" s="2">
        <f>MIN(25,ROUNDUP(J242/12,0))</f>
        <v>25</v>
      </c>
      <c r="L242" s="2">
        <f>C242-K242</f>
        <v>0</v>
      </c>
    </row>
    <row r="243" spans="1:12" x14ac:dyDescent="0.2">
      <c r="A243" s="2" t="s">
        <v>364</v>
      </c>
      <c r="B243" s="2" t="s">
        <v>67</v>
      </c>
      <c r="C243" s="2" t="s">
        <v>158</v>
      </c>
      <c r="D243" s="2" t="s">
        <v>365</v>
      </c>
      <c r="E243" s="2" t="s">
        <v>288</v>
      </c>
      <c r="F243" s="2" t="s">
        <v>47</v>
      </c>
      <c r="G243" s="2" t="s">
        <v>71</v>
      </c>
      <c r="H243" s="2" t="s">
        <v>19</v>
      </c>
      <c r="I243" s="2" t="s">
        <v>161</v>
      </c>
      <c r="J243" s="2" t="s">
        <v>366</v>
      </c>
      <c r="K243" s="2">
        <f>MIN(25,ROUNDUP(J243/12,0))</f>
        <v>4</v>
      </c>
      <c r="L243" s="2">
        <f>C243-K243</f>
        <v>-1</v>
      </c>
    </row>
    <row r="244" spans="1:12" x14ac:dyDescent="0.2">
      <c r="A244" s="2" t="s">
        <v>370</v>
      </c>
      <c r="B244" s="2" t="s">
        <v>44</v>
      </c>
      <c r="C244" s="2" t="s">
        <v>38</v>
      </c>
      <c r="D244" s="2" t="s">
        <v>371</v>
      </c>
      <c r="E244" s="2" t="s">
        <v>54</v>
      </c>
      <c r="F244" s="2" t="s">
        <v>82</v>
      </c>
      <c r="G244" s="2" t="s">
        <v>48</v>
      </c>
      <c r="H244" s="2" t="s">
        <v>19</v>
      </c>
      <c r="I244" s="2" t="s">
        <v>41</v>
      </c>
      <c r="J244" s="2" t="s">
        <v>372</v>
      </c>
      <c r="K244" s="2">
        <f>MIN(25,ROUNDUP(J244/12,0))</f>
        <v>5</v>
      </c>
      <c r="L244" s="2">
        <f>C244-K244</f>
        <v>-1</v>
      </c>
    </row>
    <row r="245" spans="1:12" x14ac:dyDescent="0.2">
      <c r="A245" s="2" t="s">
        <v>395</v>
      </c>
      <c r="B245" s="2" t="s">
        <v>44</v>
      </c>
      <c r="C245" s="2" t="s">
        <v>221</v>
      </c>
      <c r="D245" s="2" t="s">
        <v>396</v>
      </c>
      <c r="E245" s="2" t="s">
        <v>54</v>
      </c>
      <c r="F245" s="2" t="s">
        <v>26</v>
      </c>
      <c r="G245" s="2" t="s">
        <v>48</v>
      </c>
      <c r="H245" s="2" t="s">
        <v>19</v>
      </c>
      <c r="I245" s="2" t="s">
        <v>221</v>
      </c>
      <c r="J245" s="2" t="s">
        <v>397</v>
      </c>
      <c r="K245" s="2">
        <f>MIN(25,ROUNDUP(J245/12,0))</f>
        <v>2</v>
      </c>
      <c r="L245" s="2">
        <f>C245-K245</f>
        <v>-1</v>
      </c>
    </row>
    <row r="246" spans="1:12" s="3" customFormat="1" x14ac:dyDescent="0.2">
      <c r="A246" s="3" t="s">
        <v>418</v>
      </c>
      <c r="B246" s="3" t="s">
        <v>30</v>
      </c>
      <c r="C246" s="3" t="s">
        <v>221</v>
      </c>
      <c r="D246" s="3" t="s">
        <v>419</v>
      </c>
      <c r="E246" s="3" t="s">
        <v>288</v>
      </c>
      <c r="F246" s="3" t="s">
        <v>26</v>
      </c>
      <c r="G246" s="3" t="s">
        <v>34</v>
      </c>
      <c r="H246" s="3" t="s">
        <v>19</v>
      </c>
      <c r="I246" s="3" t="s">
        <v>221</v>
      </c>
      <c r="J246" s="3" t="s">
        <v>420</v>
      </c>
      <c r="K246" s="3">
        <f>MIN(25,ROUNDUP(J246/12,0))</f>
        <v>2</v>
      </c>
      <c r="L246" s="3">
        <f>C246-K246</f>
        <v>-1</v>
      </c>
    </row>
    <row r="247" spans="1:12" x14ac:dyDescent="0.2">
      <c r="A247" s="2" t="s">
        <v>436</v>
      </c>
      <c r="B247" s="2" t="s">
        <v>80</v>
      </c>
      <c r="C247" s="2" t="s">
        <v>221</v>
      </c>
      <c r="D247" s="2" t="s">
        <v>437</v>
      </c>
      <c r="E247" s="2" t="s">
        <v>201</v>
      </c>
      <c r="F247" s="2" t="s">
        <v>26</v>
      </c>
      <c r="G247" s="2" t="s">
        <v>83</v>
      </c>
      <c r="H247" s="2" t="s">
        <v>19</v>
      </c>
      <c r="I247" s="2" t="s">
        <v>221</v>
      </c>
      <c r="J247" s="2" t="s">
        <v>438</v>
      </c>
      <c r="K247" s="2">
        <f>MIN(25,ROUNDUP(J247/12,0))</f>
        <v>2</v>
      </c>
      <c r="L247" s="2">
        <f>C247-K247</f>
        <v>-1</v>
      </c>
    </row>
    <row r="248" spans="1:12" s="3" customFormat="1" x14ac:dyDescent="0.2">
      <c r="A248" s="3" t="s">
        <v>446</v>
      </c>
      <c r="B248" s="3" t="s">
        <v>59</v>
      </c>
      <c r="C248" s="3" t="s">
        <v>221</v>
      </c>
      <c r="D248" s="3" t="s">
        <v>447</v>
      </c>
      <c r="E248" s="3" t="s">
        <v>284</v>
      </c>
      <c r="F248" s="3" t="s">
        <v>47</v>
      </c>
      <c r="G248" s="3" t="s">
        <v>63</v>
      </c>
      <c r="H248" s="3" t="s">
        <v>19</v>
      </c>
      <c r="I248" s="3" t="s">
        <v>192</v>
      </c>
      <c r="J248" s="3" t="s">
        <v>448</v>
      </c>
      <c r="K248" s="3">
        <f>MIN(25,ROUNDUP(J248/12,0))</f>
        <v>2</v>
      </c>
      <c r="L248" s="3">
        <f>C248-K248</f>
        <v>-1</v>
      </c>
    </row>
    <row r="249" spans="1:12" x14ac:dyDescent="0.2">
      <c r="A249" s="2" t="s">
        <v>463</v>
      </c>
      <c r="B249" s="2" t="s">
        <v>23</v>
      </c>
      <c r="C249" s="2" t="s">
        <v>221</v>
      </c>
      <c r="D249" s="2" t="s">
        <v>464</v>
      </c>
      <c r="E249" s="2" t="s">
        <v>274</v>
      </c>
      <c r="F249" s="2" t="s">
        <v>17</v>
      </c>
      <c r="G249" s="2" t="s">
        <v>27</v>
      </c>
      <c r="H249" s="2" t="s">
        <v>19</v>
      </c>
      <c r="I249" s="2" t="s">
        <v>192</v>
      </c>
      <c r="J249" s="2" t="s">
        <v>438</v>
      </c>
      <c r="K249" s="2">
        <f>MIN(25,ROUNDUP(J249/12,0))</f>
        <v>2</v>
      </c>
      <c r="L249" s="2">
        <f>C249-K249</f>
        <v>-1</v>
      </c>
    </row>
    <row r="250" spans="1:12" x14ac:dyDescent="0.2">
      <c r="A250" s="2" t="s">
        <v>539</v>
      </c>
      <c r="B250" s="2" t="s">
        <v>129</v>
      </c>
      <c r="C250" s="2" t="s">
        <v>221</v>
      </c>
      <c r="D250" s="2" t="s">
        <v>540</v>
      </c>
      <c r="E250" s="2" t="s">
        <v>46</v>
      </c>
      <c r="F250" s="2" t="s">
        <v>485</v>
      </c>
      <c r="G250" s="2" t="s">
        <v>134</v>
      </c>
      <c r="H250" s="2" t="s">
        <v>19</v>
      </c>
      <c r="I250" s="2" t="s">
        <v>158</v>
      </c>
      <c r="J250" s="2" t="s">
        <v>541</v>
      </c>
      <c r="K250" s="2">
        <f>MIN(25,ROUNDUP(J250/12,0))</f>
        <v>2</v>
      </c>
      <c r="L250" s="2">
        <f>C250-K250</f>
        <v>-1</v>
      </c>
    </row>
    <row r="251" spans="1:12" x14ac:dyDescent="0.2">
      <c r="A251" s="2" t="s">
        <v>566</v>
      </c>
      <c r="B251" s="2" t="s">
        <v>80</v>
      </c>
      <c r="C251" s="2" t="s">
        <v>49</v>
      </c>
      <c r="D251" s="2" t="s">
        <v>567</v>
      </c>
      <c r="E251" s="2" t="s">
        <v>25</v>
      </c>
      <c r="F251" s="2" t="s">
        <v>444</v>
      </c>
      <c r="G251" s="2" t="s">
        <v>83</v>
      </c>
      <c r="H251" s="2" t="s">
        <v>19</v>
      </c>
      <c r="I251" s="2" t="s">
        <v>130</v>
      </c>
      <c r="J251" s="2" t="s">
        <v>568</v>
      </c>
      <c r="K251" s="2">
        <f>MIN(25,ROUNDUP(J251/12,0))</f>
        <v>9</v>
      </c>
      <c r="L251" s="2">
        <f>C251-K251</f>
        <v>-1</v>
      </c>
    </row>
    <row r="252" spans="1:12" x14ac:dyDescent="0.2">
      <c r="A252" s="2" t="s">
        <v>673</v>
      </c>
      <c r="B252" s="2" t="s">
        <v>44</v>
      </c>
      <c r="C252" s="2" t="s">
        <v>192</v>
      </c>
      <c r="D252" s="2" t="s">
        <v>674</v>
      </c>
      <c r="E252" s="2" t="s">
        <v>201</v>
      </c>
      <c r="F252" s="2" t="s">
        <v>26</v>
      </c>
      <c r="G252" s="2" t="s">
        <v>48</v>
      </c>
      <c r="H252" s="2" t="s">
        <v>19</v>
      </c>
      <c r="I252" s="2" t="s">
        <v>38</v>
      </c>
      <c r="J252" s="2" t="s">
        <v>117</v>
      </c>
      <c r="K252" s="2">
        <f>MIN(25,ROUNDUP(J252/12,0))</f>
        <v>3</v>
      </c>
      <c r="L252" s="2">
        <f>C252-K252</f>
        <v>-1</v>
      </c>
    </row>
    <row r="253" spans="1:12" x14ac:dyDescent="0.2">
      <c r="A253" s="2" t="s">
        <v>699</v>
      </c>
      <c r="B253" s="2" t="s">
        <v>23</v>
      </c>
      <c r="C253" s="2" t="s">
        <v>56</v>
      </c>
      <c r="D253" s="2" t="s">
        <v>700</v>
      </c>
      <c r="E253" s="2" t="s">
        <v>274</v>
      </c>
      <c r="F253" s="2" t="s">
        <v>701</v>
      </c>
      <c r="G253" s="2" t="s">
        <v>27</v>
      </c>
      <c r="H253" s="2" t="s">
        <v>19</v>
      </c>
      <c r="I253" s="2" t="s">
        <v>342</v>
      </c>
      <c r="J253" s="2" t="s">
        <v>702</v>
      </c>
      <c r="K253" s="2">
        <f>MIN(25,ROUNDUP(J253/12,0))</f>
        <v>23</v>
      </c>
      <c r="L253" s="2">
        <f>C253-K253</f>
        <v>-1</v>
      </c>
    </row>
    <row r="254" spans="1:12" x14ac:dyDescent="0.2">
      <c r="A254" s="2" t="s">
        <v>775</v>
      </c>
      <c r="B254" s="2" t="s">
        <v>59</v>
      </c>
      <c r="C254" s="2" t="s">
        <v>122</v>
      </c>
      <c r="D254" s="2" t="s">
        <v>776</v>
      </c>
      <c r="E254" s="2" t="s">
        <v>87</v>
      </c>
      <c r="F254" s="2" t="s">
        <v>310</v>
      </c>
      <c r="G254" s="2" t="s">
        <v>63</v>
      </c>
      <c r="H254" s="2" t="s">
        <v>19</v>
      </c>
      <c r="I254" s="2" t="s">
        <v>75</v>
      </c>
      <c r="J254" s="2" t="s">
        <v>777</v>
      </c>
      <c r="K254" s="2">
        <f>MIN(25,ROUNDUP(J254/12,0))</f>
        <v>14</v>
      </c>
      <c r="L254" s="2">
        <f>C254-K254</f>
        <v>-1</v>
      </c>
    </row>
    <row r="255" spans="1:12" x14ac:dyDescent="0.2">
      <c r="A255" s="2" t="s">
        <v>931</v>
      </c>
      <c r="B255" s="2" t="s">
        <v>67</v>
      </c>
      <c r="C255" s="2" t="s">
        <v>52</v>
      </c>
      <c r="D255" s="2" t="s">
        <v>932</v>
      </c>
      <c r="E255" s="2" t="s">
        <v>111</v>
      </c>
      <c r="F255" s="2" t="s">
        <v>133</v>
      </c>
      <c r="G255" s="2" t="s">
        <v>71</v>
      </c>
      <c r="H255" s="2" t="s">
        <v>19</v>
      </c>
      <c r="I255" s="2" t="s">
        <v>56</v>
      </c>
      <c r="J255" s="2" t="s">
        <v>933</v>
      </c>
      <c r="K255" s="2">
        <f>MIN(25,ROUNDUP(J255/12,0))</f>
        <v>21</v>
      </c>
      <c r="L255" s="2">
        <f>C255-K255</f>
        <v>-1</v>
      </c>
    </row>
    <row r="256" spans="1:12" x14ac:dyDescent="0.2">
      <c r="A256" s="2" t="s">
        <v>37</v>
      </c>
      <c r="B256" s="2" t="s">
        <v>30</v>
      </c>
      <c r="C256" s="2" t="s">
        <v>38</v>
      </c>
      <c r="D256" s="2" t="s">
        <v>39</v>
      </c>
      <c r="E256" s="2" t="s">
        <v>40</v>
      </c>
      <c r="F256" s="2" t="s">
        <v>26</v>
      </c>
      <c r="G256" s="2" t="s">
        <v>34</v>
      </c>
      <c r="H256" s="2" t="s">
        <v>19</v>
      </c>
      <c r="I256" s="2" t="s">
        <v>41</v>
      </c>
      <c r="J256" s="2" t="s">
        <v>42</v>
      </c>
      <c r="K256" s="2">
        <f>MIN(25,ROUNDUP(J256/12,0))</f>
        <v>6</v>
      </c>
      <c r="L256" s="2">
        <f>C256-K256</f>
        <v>-2</v>
      </c>
    </row>
    <row r="257" spans="1:12" x14ac:dyDescent="0.2">
      <c r="A257" s="2" t="s">
        <v>145</v>
      </c>
      <c r="B257" s="2" t="s">
        <v>74</v>
      </c>
      <c r="C257" s="2" t="s">
        <v>130</v>
      </c>
      <c r="D257" s="2" t="s">
        <v>146</v>
      </c>
      <c r="E257" s="2" t="s">
        <v>132</v>
      </c>
      <c r="F257" s="2" t="s">
        <v>147</v>
      </c>
      <c r="G257" s="2" t="s">
        <v>77</v>
      </c>
      <c r="H257" s="2" t="s">
        <v>19</v>
      </c>
      <c r="I257" s="2" t="s">
        <v>125</v>
      </c>
      <c r="J257" s="2" t="s">
        <v>148</v>
      </c>
      <c r="K257" s="2">
        <f>MIN(25,ROUNDUP(J257/12,0))</f>
        <v>12</v>
      </c>
      <c r="L257" s="2">
        <f>C257-K257</f>
        <v>-2</v>
      </c>
    </row>
    <row r="258" spans="1:12" x14ac:dyDescent="0.2">
      <c r="A258" s="2" t="s">
        <v>163</v>
      </c>
      <c r="B258" s="2" t="s">
        <v>74</v>
      </c>
      <c r="C258" s="2" t="s">
        <v>41</v>
      </c>
      <c r="D258" s="2" t="s">
        <v>164</v>
      </c>
      <c r="E258" s="2" t="s">
        <v>87</v>
      </c>
      <c r="F258" s="2" t="s">
        <v>26</v>
      </c>
      <c r="G258" s="2" t="s">
        <v>77</v>
      </c>
      <c r="H258" s="2" t="s">
        <v>19</v>
      </c>
      <c r="I258" s="2" t="s">
        <v>49</v>
      </c>
      <c r="J258" s="2" t="s">
        <v>165</v>
      </c>
      <c r="K258" s="2">
        <f>MIN(25,ROUNDUP(J258/12,0))</f>
        <v>8</v>
      </c>
      <c r="L258" s="2">
        <f>C258-K258</f>
        <v>-2</v>
      </c>
    </row>
    <row r="259" spans="1:12" x14ac:dyDescent="0.2">
      <c r="A259" s="2" t="s">
        <v>312</v>
      </c>
      <c r="B259" s="2" t="s">
        <v>23</v>
      </c>
      <c r="C259" s="2" t="s">
        <v>125</v>
      </c>
      <c r="D259" s="2" t="s">
        <v>313</v>
      </c>
      <c r="E259" s="2" t="s">
        <v>274</v>
      </c>
      <c r="F259" s="2" t="s">
        <v>47</v>
      </c>
      <c r="G259" s="2" t="s">
        <v>27</v>
      </c>
      <c r="H259" s="2" t="s">
        <v>19</v>
      </c>
      <c r="I259" s="2" t="s">
        <v>68</v>
      </c>
      <c r="J259" s="2" t="s">
        <v>314</v>
      </c>
      <c r="K259" s="2">
        <f>MIN(25,ROUNDUP(J259/12,0))</f>
        <v>14</v>
      </c>
      <c r="L259" s="2">
        <f>C259-K259</f>
        <v>-2</v>
      </c>
    </row>
    <row r="260" spans="1:12" x14ac:dyDescent="0.2">
      <c r="A260" s="2" t="s">
        <v>361</v>
      </c>
      <c r="B260" s="2" t="s">
        <v>44</v>
      </c>
      <c r="C260" s="2" t="s">
        <v>221</v>
      </c>
      <c r="D260" s="2" t="s">
        <v>362</v>
      </c>
      <c r="E260" s="2" t="s">
        <v>46</v>
      </c>
      <c r="F260" s="2" t="s">
        <v>133</v>
      </c>
      <c r="G260" s="2" t="s">
        <v>48</v>
      </c>
      <c r="H260" s="2" t="s">
        <v>19</v>
      </c>
      <c r="I260" s="2" t="s">
        <v>158</v>
      </c>
      <c r="J260" s="2" t="s">
        <v>363</v>
      </c>
      <c r="K260" s="2">
        <f>MIN(25,ROUNDUP(J260/12,0))</f>
        <v>3</v>
      </c>
      <c r="L260" s="2">
        <f>C260-K260</f>
        <v>-2</v>
      </c>
    </row>
    <row r="261" spans="1:12" x14ac:dyDescent="0.2">
      <c r="A261" s="2" t="s">
        <v>376</v>
      </c>
      <c r="B261" s="2" t="s">
        <v>44</v>
      </c>
      <c r="C261" s="2" t="s">
        <v>20</v>
      </c>
      <c r="D261" s="2" t="s">
        <v>377</v>
      </c>
      <c r="E261" s="2" t="s">
        <v>33</v>
      </c>
      <c r="F261" s="2" t="s">
        <v>133</v>
      </c>
      <c r="G261" s="2" t="s">
        <v>48</v>
      </c>
      <c r="H261" s="2" t="s">
        <v>19</v>
      </c>
      <c r="I261" s="2" t="s">
        <v>378</v>
      </c>
      <c r="J261" s="2" t="s">
        <v>379</v>
      </c>
      <c r="K261" s="2">
        <f>MIN(25,ROUNDUP(J261/12,0))</f>
        <v>25</v>
      </c>
      <c r="L261" s="2">
        <f>C261-K261</f>
        <v>-2</v>
      </c>
    </row>
    <row r="262" spans="1:12" x14ac:dyDescent="0.2">
      <c r="A262" s="2" t="s">
        <v>392</v>
      </c>
      <c r="B262" s="2" t="s">
        <v>95</v>
      </c>
      <c r="C262" s="2" t="s">
        <v>161</v>
      </c>
      <c r="D262" s="2" t="s">
        <v>393</v>
      </c>
      <c r="E262" s="2" t="s">
        <v>87</v>
      </c>
      <c r="F262" s="2" t="s">
        <v>47</v>
      </c>
      <c r="G262" s="2" t="s">
        <v>98</v>
      </c>
      <c r="H262" s="2" t="s">
        <v>19</v>
      </c>
      <c r="I262" s="2" t="s">
        <v>187</v>
      </c>
      <c r="J262" s="2" t="s">
        <v>394</v>
      </c>
      <c r="K262" s="2">
        <f>MIN(25,ROUNDUP(J262/12,0))</f>
        <v>7</v>
      </c>
      <c r="L262" s="2">
        <f>C262-K262</f>
        <v>-2</v>
      </c>
    </row>
    <row r="263" spans="1:12" x14ac:dyDescent="0.2">
      <c r="A263" s="2" t="s">
        <v>518</v>
      </c>
      <c r="B263" s="2" t="s">
        <v>114</v>
      </c>
      <c r="C263" s="2" t="s">
        <v>20</v>
      </c>
      <c r="D263" s="2" t="s">
        <v>519</v>
      </c>
      <c r="E263" s="2" t="s">
        <v>111</v>
      </c>
      <c r="F263" s="2" t="s">
        <v>17</v>
      </c>
      <c r="G263" s="2" t="s">
        <v>116</v>
      </c>
      <c r="H263" s="2" t="s">
        <v>19</v>
      </c>
      <c r="I263" s="2" t="s">
        <v>378</v>
      </c>
      <c r="J263" s="2" t="s">
        <v>520</v>
      </c>
      <c r="K263" s="2">
        <f>MIN(25,ROUNDUP(J263/12,0))</f>
        <v>25</v>
      </c>
      <c r="L263" s="2">
        <f>C263-K263</f>
        <v>-2</v>
      </c>
    </row>
    <row r="264" spans="1:12" x14ac:dyDescent="0.2">
      <c r="A264" s="2" t="s">
        <v>554</v>
      </c>
      <c r="B264" s="2" t="s">
        <v>80</v>
      </c>
      <c r="C264" s="2" t="s">
        <v>192</v>
      </c>
      <c r="D264" s="2" t="s">
        <v>555</v>
      </c>
      <c r="E264" s="2" t="s">
        <v>284</v>
      </c>
      <c r="F264" s="2" t="s">
        <v>26</v>
      </c>
      <c r="G264" s="2" t="s">
        <v>83</v>
      </c>
      <c r="H264" s="2" t="s">
        <v>19</v>
      </c>
      <c r="I264" s="2" t="s">
        <v>38</v>
      </c>
      <c r="J264" s="2" t="s">
        <v>556</v>
      </c>
      <c r="K264" s="2">
        <f>MIN(25,ROUNDUP(J264/12,0))</f>
        <v>4</v>
      </c>
      <c r="L264" s="2">
        <f>C264-K264</f>
        <v>-2</v>
      </c>
    </row>
    <row r="265" spans="1:12" x14ac:dyDescent="0.2">
      <c r="A265" s="2" t="s">
        <v>569</v>
      </c>
      <c r="B265" s="2" t="s">
        <v>95</v>
      </c>
      <c r="C265" s="2" t="s">
        <v>221</v>
      </c>
      <c r="D265" s="2" t="s">
        <v>570</v>
      </c>
      <c r="E265" s="2" t="s">
        <v>87</v>
      </c>
      <c r="F265" s="2" t="s">
        <v>47</v>
      </c>
      <c r="G265" s="2" t="s">
        <v>98</v>
      </c>
      <c r="H265" s="2" t="s">
        <v>19</v>
      </c>
      <c r="I265" s="2" t="s">
        <v>192</v>
      </c>
      <c r="J265" s="2" t="s">
        <v>571</v>
      </c>
      <c r="K265" s="2">
        <f>MIN(25,ROUNDUP(J265/12,0))</f>
        <v>3</v>
      </c>
      <c r="L265" s="2">
        <f>C265-K265</f>
        <v>-2</v>
      </c>
    </row>
    <row r="266" spans="1:12" x14ac:dyDescent="0.2">
      <c r="A266" s="2" t="s">
        <v>609</v>
      </c>
      <c r="B266" s="2" t="s">
        <v>30</v>
      </c>
      <c r="C266" s="2" t="s">
        <v>221</v>
      </c>
      <c r="D266" s="2" t="s">
        <v>610</v>
      </c>
      <c r="E266" s="2" t="s">
        <v>288</v>
      </c>
      <c r="F266" s="2" t="s">
        <v>133</v>
      </c>
      <c r="G266" s="2" t="s">
        <v>34</v>
      </c>
      <c r="H266" s="2" t="s">
        <v>19</v>
      </c>
      <c r="I266" s="2" t="s">
        <v>158</v>
      </c>
      <c r="J266" s="2" t="s">
        <v>611</v>
      </c>
      <c r="K266" s="2">
        <f>MIN(25,ROUNDUP(J266/12,0))</f>
        <v>3</v>
      </c>
      <c r="L266" s="2">
        <f>C266-K266</f>
        <v>-2</v>
      </c>
    </row>
    <row r="267" spans="1:12" x14ac:dyDescent="0.2">
      <c r="A267" s="2" t="s">
        <v>615</v>
      </c>
      <c r="B267" s="2" t="s">
        <v>74</v>
      </c>
      <c r="C267" s="2" t="s">
        <v>119</v>
      </c>
      <c r="D267" s="2" t="s">
        <v>616</v>
      </c>
      <c r="E267" s="2" t="s">
        <v>87</v>
      </c>
      <c r="F267" s="2" t="s">
        <v>160</v>
      </c>
      <c r="G267" s="2" t="s">
        <v>77</v>
      </c>
      <c r="H267" s="2" t="s">
        <v>19</v>
      </c>
      <c r="I267" s="2" t="s">
        <v>122</v>
      </c>
      <c r="J267" s="2" t="s">
        <v>617</v>
      </c>
      <c r="K267" s="2">
        <f>MIN(25,ROUNDUP(J267/12,0))</f>
        <v>13</v>
      </c>
      <c r="L267" s="2">
        <f>C267-K267</f>
        <v>-2</v>
      </c>
    </row>
    <row r="268" spans="1:12" x14ac:dyDescent="0.2">
      <c r="A268" s="2" t="s">
        <v>629</v>
      </c>
      <c r="B268" s="2" t="s">
        <v>74</v>
      </c>
      <c r="C268" s="2" t="s">
        <v>38</v>
      </c>
      <c r="D268" s="2" t="s">
        <v>630</v>
      </c>
      <c r="E268" s="2" t="s">
        <v>155</v>
      </c>
      <c r="F268" s="2" t="s">
        <v>310</v>
      </c>
      <c r="G268" s="2" t="s">
        <v>77</v>
      </c>
      <c r="H268" s="2" t="s">
        <v>19</v>
      </c>
      <c r="I268" s="2" t="s">
        <v>41</v>
      </c>
      <c r="J268" s="2" t="s">
        <v>205</v>
      </c>
      <c r="K268" s="2">
        <f>MIN(25,ROUNDUP(J268/12,0))</f>
        <v>6</v>
      </c>
      <c r="L268" s="2">
        <f>C268-K268</f>
        <v>-2</v>
      </c>
    </row>
    <row r="269" spans="1:12" x14ac:dyDescent="0.2">
      <c r="A269" s="2" t="s">
        <v>645</v>
      </c>
      <c r="B269" s="2" t="s">
        <v>129</v>
      </c>
      <c r="C269" s="2" t="s">
        <v>130</v>
      </c>
      <c r="D269" s="2" t="s">
        <v>646</v>
      </c>
      <c r="E269" s="2" t="s">
        <v>46</v>
      </c>
      <c r="F269" s="2" t="s">
        <v>244</v>
      </c>
      <c r="G269" s="2" t="s">
        <v>134</v>
      </c>
      <c r="H269" s="2" t="s">
        <v>19</v>
      </c>
      <c r="I269" s="2" t="s">
        <v>125</v>
      </c>
      <c r="J269" s="2" t="s">
        <v>647</v>
      </c>
      <c r="K269" s="2">
        <f>MIN(25,ROUNDUP(J269/12,0))</f>
        <v>12</v>
      </c>
      <c r="L269" s="2">
        <f>C269-K269</f>
        <v>-2</v>
      </c>
    </row>
    <row r="270" spans="1:12" x14ac:dyDescent="0.2">
      <c r="A270" s="2" t="s">
        <v>703</v>
      </c>
      <c r="B270" s="2" t="s">
        <v>101</v>
      </c>
      <c r="C270" s="2" t="s">
        <v>20</v>
      </c>
      <c r="D270" s="2" t="s">
        <v>704</v>
      </c>
      <c r="E270" s="2" t="s">
        <v>46</v>
      </c>
      <c r="F270" s="2" t="s">
        <v>47</v>
      </c>
      <c r="G270" s="2" t="s">
        <v>104</v>
      </c>
      <c r="H270" s="2" t="s">
        <v>19</v>
      </c>
      <c r="I270" s="2" t="s">
        <v>378</v>
      </c>
      <c r="J270" s="2" t="s">
        <v>705</v>
      </c>
      <c r="K270" s="2">
        <f>MIN(25,ROUNDUP(J270/12,0))</f>
        <v>25</v>
      </c>
      <c r="L270" s="2">
        <f>C270-K270</f>
        <v>-2</v>
      </c>
    </row>
    <row r="271" spans="1:12" x14ac:dyDescent="0.2">
      <c r="A271" s="2" t="s">
        <v>838</v>
      </c>
      <c r="B271" s="2" t="s">
        <v>30</v>
      </c>
      <c r="C271" s="2" t="s">
        <v>60</v>
      </c>
      <c r="D271" s="2" t="s">
        <v>839</v>
      </c>
      <c r="E271" s="2" t="s">
        <v>454</v>
      </c>
      <c r="F271" s="2" t="s">
        <v>92</v>
      </c>
      <c r="G271" s="2" t="s">
        <v>34</v>
      </c>
      <c r="H271" s="2" t="s">
        <v>19</v>
      </c>
      <c r="I271" s="2" t="s">
        <v>64</v>
      </c>
      <c r="J271" s="2" t="s">
        <v>840</v>
      </c>
      <c r="K271" s="2">
        <f>MIN(25,ROUNDUP(J271/12,0))</f>
        <v>18</v>
      </c>
      <c r="L271" s="2">
        <f>C271-K271</f>
        <v>-2</v>
      </c>
    </row>
    <row r="272" spans="1:12" x14ac:dyDescent="0.2">
      <c r="A272" s="2" t="s">
        <v>975</v>
      </c>
      <c r="B272" s="2" t="s">
        <v>74</v>
      </c>
      <c r="C272" s="2" t="s">
        <v>20</v>
      </c>
      <c r="D272" s="2" t="s">
        <v>976</v>
      </c>
      <c r="E272" s="2" t="s">
        <v>201</v>
      </c>
      <c r="F272" s="2" t="s">
        <v>223</v>
      </c>
      <c r="G272" s="2" t="s">
        <v>77</v>
      </c>
      <c r="H272" s="2" t="s">
        <v>19</v>
      </c>
      <c r="I272" s="2" t="s">
        <v>378</v>
      </c>
      <c r="J272" s="2" t="s">
        <v>977</v>
      </c>
      <c r="K272" s="2">
        <f>MIN(25,ROUNDUP(J272/12,0))</f>
        <v>25</v>
      </c>
      <c r="L272" s="2">
        <f>C272-K272</f>
        <v>-2</v>
      </c>
    </row>
    <row r="273" spans="1:12" x14ac:dyDescent="0.2">
      <c r="A273" s="2" t="s">
        <v>1088</v>
      </c>
      <c r="B273" s="2" t="s">
        <v>13</v>
      </c>
      <c r="C273" s="2" t="s">
        <v>20</v>
      </c>
      <c r="D273" s="2" t="s">
        <v>1089</v>
      </c>
      <c r="E273" s="2" t="s">
        <v>201</v>
      </c>
      <c r="F273" s="2" t="s">
        <v>47</v>
      </c>
      <c r="G273" s="2" t="s">
        <v>18</v>
      </c>
      <c r="H273" s="2" t="s">
        <v>19</v>
      </c>
      <c r="I273" s="2" t="s">
        <v>378</v>
      </c>
      <c r="J273" s="2" t="s">
        <v>473</v>
      </c>
      <c r="K273" s="2">
        <f>MIN(25,ROUNDUP(J273/12,0))</f>
        <v>25</v>
      </c>
      <c r="L273" s="2">
        <f>C273-K273</f>
        <v>-2</v>
      </c>
    </row>
    <row r="274" spans="1:12" x14ac:dyDescent="0.2">
      <c r="A274" s="2" t="s">
        <v>1151</v>
      </c>
      <c r="B274" s="2" t="s">
        <v>13</v>
      </c>
      <c r="C274" s="2" t="s">
        <v>20</v>
      </c>
      <c r="D274" s="2" t="s">
        <v>1152</v>
      </c>
      <c r="E274" s="2" t="s">
        <v>70</v>
      </c>
      <c r="F274" s="2" t="s">
        <v>223</v>
      </c>
      <c r="G274" s="2" t="s">
        <v>18</v>
      </c>
      <c r="H274" s="2" t="s">
        <v>19</v>
      </c>
      <c r="I274" s="2" t="s">
        <v>378</v>
      </c>
      <c r="J274" s="2" t="s">
        <v>473</v>
      </c>
      <c r="K274" s="2">
        <f>MIN(25,ROUNDUP(J274/12,0))</f>
        <v>25</v>
      </c>
      <c r="L274" s="2">
        <f>C274-K274</f>
        <v>-2</v>
      </c>
    </row>
    <row r="275" spans="1:12" s="3" customFormat="1" x14ac:dyDescent="0.2">
      <c r="A275" s="3" t="s">
        <v>85</v>
      </c>
      <c r="B275" s="3" t="s">
        <v>74</v>
      </c>
      <c r="C275" s="3" t="s">
        <v>75</v>
      </c>
      <c r="D275" s="3" t="s">
        <v>86</v>
      </c>
      <c r="E275" s="3" t="s">
        <v>87</v>
      </c>
      <c r="F275" s="3" t="s">
        <v>82</v>
      </c>
      <c r="G275" s="3" t="s">
        <v>77</v>
      </c>
      <c r="H275" s="3" t="s">
        <v>19</v>
      </c>
      <c r="I275" s="3" t="s">
        <v>31</v>
      </c>
      <c r="J275" s="3" t="s">
        <v>88</v>
      </c>
      <c r="K275" s="3">
        <f>MIN(25,ROUNDUP(J275/12,0))</f>
        <v>18</v>
      </c>
      <c r="L275" s="3">
        <f>C275-K275</f>
        <v>-3</v>
      </c>
    </row>
    <row r="276" spans="1:12" x14ac:dyDescent="0.2">
      <c r="A276" s="2" t="s">
        <v>136</v>
      </c>
      <c r="B276" s="2" t="s">
        <v>80</v>
      </c>
      <c r="C276" s="2" t="s">
        <v>75</v>
      </c>
      <c r="D276" s="2" t="s">
        <v>137</v>
      </c>
      <c r="E276" s="2" t="s">
        <v>103</v>
      </c>
      <c r="F276" s="2" t="s">
        <v>47</v>
      </c>
      <c r="G276" s="2" t="s">
        <v>83</v>
      </c>
      <c r="H276" s="2" t="s">
        <v>19</v>
      </c>
      <c r="I276" s="2" t="s">
        <v>31</v>
      </c>
      <c r="J276" s="2" t="s">
        <v>138</v>
      </c>
      <c r="K276" s="2">
        <f>MIN(25,ROUNDUP(J276/12,0))</f>
        <v>18</v>
      </c>
      <c r="L276" s="2">
        <f>C276-K276</f>
        <v>-3</v>
      </c>
    </row>
    <row r="277" spans="1:12" x14ac:dyDescent="0.2">
      <c r="A277" s="2" t="s">
        <v>220</v>
      </c>
      <c r="B277" s="2" t="s">
        <v>23</v>
      </c>
      <c r="C277" s="2" t="s">
        <v>221</v>
      </c>
      <c r="D277" s="2" t="s">
        <v>222</v>
      </c>
      <c r="E277" s="2" t="s">
        <v>33</v>
      </c>
      <c r="F277" s="2" t="s">
        <v>223</v>
      </c>
      <c r="G277" s="2" t="s">
        <v>27</v>
      </c>
      <c r="H277" s="2" t="s">
        <v>19</v>
      </c>
      <c r="I277" s="2" t="s">
        <v>158</v>
      </c>
      <c r="J277" s="2" t="s">
        <v>224</v>
      </c>
      <c r="K277" s="2">
        <f>MIN(25,ROUNDUP(J277/12,0))</f>
        <v>4</v>
      </c>
      <c r="L277" s="2">
        <f>C277-K277</f>
        <v>-3</v>
      </c>
    </row>
    <row r="278" spans="1:12" x14ac:dyDescent="0.2">
      <c r="A278" s="2" t="s">
        <v>389</v>
      </c>
      <c r="B278" s="2" t="s">
        <v>67</v>
      </c>
      <c r="C278" s="2" t="s">
        <v>221</v>
      </c>
      <c r="D278" s="2" t="s">
        <v>390</v>
      </c>
      <c r="E278" s="2" t="s">
        <v>97</v>
      </c>
      <c r="F278" s="2" t="s">
        <v>310</v>
      </c>
      <c r="G278" s="2" t="s">
        <v>71</v>
      </c>
      <c r="H278" s="2" t="s">
        <v>19</v>
      </c>
      <c r="I278" s="2" t="s">
        <v>221</v>
      </c>
      <c r="J278" s="2" t="s">
        <v>391</v>
      </c>
      <c r="K278" s="2">
        <f>MIN(25,ROUNDUP(J278/12,0))</f>
        <v>4</v>
      </c>
      <c r="L278" s="2">
        <f>C278-K278</f>
        <v>-3</v>
      </c>
    </row>
    <row r="279" spans="1:12" x14ac:dyDescent="0.2">
      <c r="A279" s="2" t="s">
        <v>413</v>
      </c>
      <c r="B279" s="2" t="s">
        <v>67</v>
      </c>
      <c r="C279" s="2" t="s">
        <v>221</v>
      </c>
      <c r="D279" s="2" t="s">
        <v>414</v>
      </c>
      <c r="E279" s="2" t="s">
        <v>155</v>
      </c>
      <c r="F279" s="2" t="s">
        <v>26</v>
      </c>
      <c r="G279" s="2" t="s">
        <v>71</v>
      </c>
      <c r="H279" s="2" t="s">
        <v>19</v>
      </c>
      <c r="I279" s="2" t="s">
        <v>192</v>
      </c>
      <c r="J279" s="2" t="s">
        <v>366</v>
      </c>
      <c r="K279" s="2">
        <f>MIN(25,ROUNDUP(J279/12,0))</f>
        <v>4</v>
      </c>
      <c r="L279" s="2">
        <f>C279-K279</f>
        <v>-3</v>
      </c>
    </row>
    <row r="280" spans="1:12" x14ac:dyDescent="0.2">
      <c r="A280" s="2" t="s">
        <v>536</v>
      </c>
      <c r="B280" s="2" t="s">
        <v>95</v>
      </c>
      <c r="C280" s="2" t="s">
        <v>221</v>
      </c>
      <c r="D280" s="2" t="s">
        <v>537</v>
      </c>
      <c r="E280" s="2" t="s">
        <v>151</v>
      </c>
      <c r="F280" s="2" t="s">
        <v>17</v>
      </c>
      <c r="G280" s="2" t="s">
        <v>98</v>
      </c>
      <c r="H280" s="2" t="s">
        <v>19</v>
      </c>
      <c r="I280" s="2" t="s">
        <v>192</v>
      </c>
      <c r="J280" s="2" t="s">
        <v>538</v>
      </c>
      <c r="K280" s="2">
        <f>MIN(25,ROUNDUP(J280/12,0))</f>
        <v>4</v>
      </c>
      <c r="L280" s="2">
        <f>C280-K280</f>
        <v>-3</v>
      </c>
    </row>
    <row r="281" spans="1:12" x14ac:dyDescent="0.2">
      <c r="A281" s="2" t="s">
        <v>545</v>
      </c>
      <c r="B281" s="2" t="s">
        <v>59</v>
      </c>
      <c r="C281" s="2" t="s">
        <v>221</v>
      </c>
      <c r="D281" s="2" t="s">
        <v>546</v>
      </c>
      <c r="E281" s="2" t="s">
        <v>254</v>
      </c>
      <c r="F281" s="2" t="s">
        <v>133</v>
      </c>
      <c r="G281" s="2" t="s">
        <v>63</v>
      </c>
      <c r="H281" s="2" t="s">
        <v>19</v>
      </c>
      <c r="I281" s="2" t="s">
        <v>221</v>
      </c>
      <c r="J281" s="2" t="s">
        <v>547</v>
      </c>
      <c r="K281" s="2">
        <f>MIN(25,ROUNDUP(J281/12,0))</f>
        <v>4</v>
      </c>
      <c r="L281" s="2">
        <f>C281-K281</f>
        <v>-3</v>
      </c>
    </row>
    <row r="282" spans="1:12" x14ac:dyDescent="0.2">
      <c r="A282" s="2" t="s">
        <v>572</v>
      </c>
      <c r="B282" s="2" t="s">
        <v>59</v>
      </c>
      <c r="C282" s="2" t="s">
        <v>192</v>
      </c>
      <c r="D282" s="2" t="s">
        <v>573</v>
      </c>
      <c r="E282" s="2" t="s">
        <v>54</v>
      </c>
      <c r="F282" s="2" t="s">
        <v>47</v>
      </c>
      <c r="G282" s="2" t="s">
        <v>63</v>
      </c>
      <c r="H282" s="2" t="s">
        <v>19</v>
      </c>
      <c r="I282" s="2" t="s">
        <v>38</v>
      </c>
      <c r="J282" s="2" t="s">
        <v>262</v>
      </c>
      <c r="K282" s="2">
        <f>MIN(25,ROUNDUP(J282/12,0))</f>
        <v>5</v>
      </c>
      <c r="L282" s="2">
        <f>C282-K282</f>
        <v>-3</v>
      </c>
    </row>
    <row r="283" spans="1:12" x14ac:dyDescent="0.2">
      <c r="A283" s="2" t="s">
        <v>574</v>
      </c>
      <c r="B283" s="2" t="s">
        <v>23</v>
      </c>
      <c r="C283" s="2" t="s">
        <v>221</v>
      </c>
      <c r="D283" s="2" t="s">
        <v>575</v>
      </c>
      <c r="E283" s="2" t="s">
        <v>194</v>
      </c>
      <c r="F283" s="2" t="s">
        <v>223</v>
      </c>
      <c r="G283" s="2" t="s">
        <v>27</v>
      </c>
      <c r="H283" s="2" t="s">
        <v>19</v>
      </c>
      <c r="I283" s="2" t="s">
        <v>192</v>
      </c>
      <c r="J283" s="2" t="s">
        <v>576</v>
      </c>
      <c r="K283" s="2">
        <f>MIN(25,ROUNDUP(J283/12,0))</f>
        <v>4</v>
      </c>
      <c r="L283" s="2">
        <f>C283-K283</f>
        <v>-3</v>
      </c>
    </row>
    <row r="284" spans="1:12" x14ac:dyDescent="0.2">
      <c r="A284" s="2" t="s">
        <v>606</v>
      </c>
      <c r="B284" s="2" t="s">
        <v>114</v>
      </c>
      <c r="C284" s="2" t="s">
        <v>41</v>
      </c>
      <c r="D284" s="2" t="s">
        <v>607</v>
      </c>
      <c r="E284" s="2" t="s">
        <v>254</v>
      </c>
      <c r="F284" s="2" t="s">
        <v>47</v>
      </c>
      <c r="G284" s="2" t="s">
        <v>116</v>
      </c>
      <c r="H284" s="2" t="s">
        <v>19</v>
      </c>
      <c r="I284" s="2" t="s">
        <v>49</v>
      </c>
      <c r="J284" s="2" t="s">
        <v>608</v>
      </c>
      <c r="K284" s="2">
        <f>MIN(25,ROUNDUP(J284/12,0))</f>
        <v>9</v>
      </c>
      <c r="L284" s="2">
        <f>C284-K284</f>
        <v>-3</v>
      </c>
    </row>
    <row r="285" spans="1:12" x14ac:dyDescent="0.2">
      <c r="A285" s="2" t="s">
        <v>684</v>
      </c>
      <c r="B285" s="2" t="s">
        <v>95</v>
      </c>
      <c r="C285" s="2" t="s">
        <v>56</v>
      </c>
      <c r="D285" s="2" t="s">
        <v>685</v>
      </c>
      <c r="E285" s="2" t="s">
        <v>335</v>
      </c>
      <c r="F285" s="2" t="s">
        <v>47</v>
      </c>
      <c r="G285" s="2" t="s">
        <v>98</v>
      </c>
      <c r="H285" s="2" t="s">
        <v>19</v>
      </c>
      <c r="I285" s="2" t="s">
        <v>342</v>
      </c>
      <c r="J285" s="2" t="s">
        <v>686</v>
      </c>
      <c r="K285" s="2">
        <f>MIN(25,ROUNDUP(J285/12,0))</f>
        <v>25</v>
      </c>
      <c r="L285" s="2">
        <f>C285-K285</f>
        <v>-3</v>
      </c>
    </row>
    <row r="286" spans="1:12" x14ac:dyDescent="0.2">
      <c r="A286" s="2" t="s">
        <v>693</v>
      </c>
      <c r="B286" s="2" t="s">
        <v>95</v>
      </c>
      <c r="C286" s="2" t="s">
        <v>158</v>
      </c>
      <c r="D286" s="2" t="s">
        <v>694</v>
      </c>
      <c r="E286" s="2" t="s">
        <v>70</v>
      </c>
      <c r="F286" s="2" t="s">
        <v>26</v>
      </c>
      <c r="G286" s="2" t="s">
        <v>98</v>
      </c>
      <c r="H286" s="2" t="s">
        <v>19</v>
      </c>
      <c r="I286" s="2" t="s">
        <v>161</v>
      </c>
      <c r="J286" s="2" t="s">
        <v>695</v>
      </c>
      <c r="K286" s="2">
        <f>MIN(25,ROUNDUP(J286/12,0))</f>
        <v>6</v>
      </c>
      <c r="L286" s="2">
        <f>C286-K286</f>
        <v>-3</v>
      </c>
    </row>
    <row r="287" spans="1:12" x14ac:dyDescent="0.2">
      <c r="A287" s="2" t="s">
        <v>738</v>
      </c>
      <c r="B287" s="2" t="s">
        <v>95</v>
      </c>
      <c r="C287" s="2" t="s">
        <v>49</v>
      </c>
      <c r="D287" s="2" t="s">
        <v>739</v>
      </c>
      <c r="E287" s="2" t="s">
        <v>16</v>
      </c>
      <c r="F287" s="2" t="s">
        <v>147</v>
      </c>
      <c r="G287" s="2" t="s">
        <v>98</v>
      </c>
      <c r="H287" s="2" t="s">
        <v>19</v>
      </c>
      <c r="I287" s="2" t="s">
        <v>130</v>
      </c>
      <c r="J287" s="2" t="s">
        <v>740</v>
      </c>
      <c r="K287" s="2">
        <f>MIN(25,ROUNDUP(J287/12,0))</f>
        <v>11</v>
      </c>
      <c r="L287" s="2">
        <f>C287-K287</f>
        <v>-3</v>
      </c>
    </row>
    <row r="288" spans="1:12" x14ac:dyDescent="0.2">
      <c r="A288" s="2" t="s">
        <v>744</v>
      </c>
      <c r="B288" s="2" t="s">
        <v>95</v>
      </c>
      <c r="C288" s="2" t="s">
        <v>125</v>
      </c>
      <c r="D288" s="2" t="s">
        <v>745</v>
      </c>
      <c r="E288" s="2" t="s">
        <v>155</v>
      </c>
      <c r="F288" s="2" t="s">
        <v>746</v>
      </c>
      <c r="G288" s="2" t="s">
        <v>98</v>
      </c>
      <c r="H288" s="2" t="s">
        <v>19</v>
      </c>
      <c r="I288" s="2" t="s">
        <v>68</v>
      </c>
      <c r="J288" s="2" t="s">
        <v>747</v>
      </c>
      <c r="K288" s="2">
        <f>MIN(25,ROUNDUP(J288/12,0))</f>
        <v>15</v>
      </c>
      <c r="L288" s="2">
        <f>C288-K288</f>
        <v>-3</v>
      </c>
    </row>
    <row r="289" spans="1:12" x14ac:dyDescent="0.2">
      <c r="A289" s="2" t="s">
        <v>772</v>
      </c>
      <c r="B289" s="2" t="s">
        <v>114</v>
      </c>
      <c r="C289" s="2" t="s">
        <v>56</v>
      </c>
      <c r="D289" s="2" t="s">
        <v>773</v>
      </c>
      <c r="E289" s="2" t="s">
        <v>194</v>
      </c>
      <c r="F289" s="2" t="s">
        <v>47</v>
      </c>
      <c r="G289" s="2" t="s">
        <v>116</v>
      </c>
      <c r="H289" s="2" t="s">
        <v>19</v>
      </c>
      <c r="I289" s="2" t="s">
        <v>342</v>
      </c>
      <c r="J289" s="2" t="s">
        <v>774</v>
      </c>
      <c r="K289" s="2">
        <f>MIN(25,ROUNDUP(J289/12,0))</f>
        <v>25</v>
      </c>
      <c r="L289" s="2">
        <f>C289-K289</f>
        <v>-3</v>
      </c>
    </row>
    <row r="290" spans="1:12" x14ac:dyDescent="0.2">
      <c r="A290" s="2" t="s">
        <v>867</v>
      </c>
      <c r="B290" s="2" t="s">
        <v>44</v>
      </c>
      <c r="C290" s="2" t="s">
        <v>221</v>
      </c>
      <c r="D290" s="2" t="s">
        <v>868</v>
      </c>
      <c r="E290" s="2" t="s">
        <v>46</v>
      </c>
      <c r="F290" s="2" t="s">
        <v>17</v>
      </c>
      <c r="G290" s="2" t="s">
        <v>48</v>
      </c>
      <c r="H290" s="2" t="s">
        <v>19</v>
      </c>
      <c r="I290" s="2" t="s">
        <v>192</v>
      </c>
      <c r="J290" s="2" t="s">
        <v>869</v>
      </c>
      <c r="K290" s="2">
        <f>MIN(25,ROUNDUP(J290/12,0))</f>
        <v>4</v>
      </c>
      <c r="L290" s="2">
        <f>C290-K290</f>
        <v>-3</v>
      </c>
    </row>
    <row r="291" spans="1:12" x14ac:dyDescent="0.2">
      <c r="A291" s="2" t="s">
        <v>1018</v>
      </c>
      <c r="B291" s="2" t="s">
        <v>13</v>
      </c>
      <c r="C291" s="2" t="s">
        <v>56</v>
      </c>
      <c r="D291" s="2" t="s">
        <v>1019</v>
      </c>
      <c r="E291" s="2" t="s">
        <v>33</v>
      </c>
      <c r="F291" s="2" t="s">
        <v>92</v>
      </c>
      <c r="G291" s="2" t="s">
        <v>18</v>
      </c>
      <c r="H291" s="2" t="s">
        <v>19</v>
      </c>
      <c r="I291" s="2" t="s">
        <v>342</v>
      </c>
      <c r="J291" s="2" t="s">
        <v>473</v>
      </c>
      <c r="K291" s="2">
        <f>MIN(25,ROUNDUP(J291/12,0))</f>
        <v>25</v>
      </c>
      <c r="L291" s="2">
        <f>C291-K291</f>
        <v>-3</v>
      </c>
    </row>
    <row r="292" spans="1:12" x14ac:dyDescent="0.2">
      <c r="A292" s="2" t="s">
        <v>1046</v>
      </c>
      <c r="B292" s="2" t="s">
        <v>101</v>
      </c>
      <c r="C292" s="2" t="s">
        <v>56</v>
      </c>
      <c r="D292" s="2" t="s">
        <v>1047</v>
      </c>
      <c r="E292" s="2" t="s">
        <v>62</v>
      </c>
      <c r="F292" s="2" t="s">
        <v>82</v>
      </c>
      <c r="G292" s="2" t="s">
        <v>104</v>
      </c>
      <c r="H292" s="2" t="s">
        <v>19</v>
      </c>
      <c r="I292" s="2" t="s">
        <v>342</v>
      </c>
      <c r="J292" s="2" t="s">
        <v>795</v>
      </c>
      <c r="K292" s="2">
        <f>MIN(25,ROUNDUP(J292/12,0))</f>
        <v>25</v>
      </c>
      <c r="L292" s="2">
        <f>C292-K292</f>
        <v>-3</v>
      </c>
    </row>
    <row r="293" spans="1:12" x14ac:dyDescent="0.2">
      <c r="A293" s="2" t="s">
        <v>118</v>
      </c>
      <c r="B293" s="2" t="s">
        <v>95</v>
      </c>
      <c r="C293" s="2" t="s">
        <v>119</v>
      </c>
      <c r="D293" s="2" t="s">
        <v>120</v>
      </c>
      <c r="E293" s="2" t="s">
        <v>121</v>
      </c>
      <c r="F293" s="2" t="s">
        <v>47</v>
      </c>
      <c r="G293" s="2" t="s">
        <v>98</v>
      </c>
      <c r="H293" s="2" t="s">
        <v>19</v>
      </c>
      <c r="I293" s="2" t="s">
        <v>122</v>
      </c>
      <c r="J293" s="2" t="s">
        <v>123</v>
      </c>
      <c r="K293" s="2">
        <f>MIN(25,ROUNDUP(J293/12,0))</f>
        <v>15</v>
      </c>
      <c r="L293" s="2">
        <f>C293-K293</f>
        <v>-4</v>
      </c>
    </row>
    <row r="294" spans="1:12" x14ac:dyDescent="0.2">
      <c r="A294" s="2" t="s">
        <v>203</v>
      </c>
      <c r="B294" s="2" t="s">
        <v>67</v>
      </c>
      <c r="C294" s="2" t="s">
        <v>192</v>
      </c>
      <c r="D294" s="2" t="s">
        <v>204</v>
      </c>
      <c r="E294" s="2" t="s">
        <v>155</v>
      </c>
      <c r="F294" s="2" t="s">
        <v>26</v>
      </c>
      <c r="G294" s="2" t="s">
        <v>71</v>
      </c>
      <c r="H294" s="2" t="s">
        <v>19</v>
      </c>
      <c r="I294" s="2" t="s">
        <v>38</v>
      </c>
      <c r="J294" s="2" t="s">
        <v>205</v>
      </c>
      <c r="K294" s="2">
        <f>MIN(25,ROUNDUP(J294/12,0))</f>
        <v>6</v>
      </c>
      <c r="L294" s="2">
        <f>C294-K294</f>
        <v>-4</v>
      </c>
    </row>
    <row r="295" spans="1:12" x14ac:dyDescent="0.2">
      <c r="A295" s="2" t="s">
        <v>305</v>
      </c>
      <c r="B295" s="2" t="s">
        <v>23</v>
      </c>
      <c r="C295" s="2" t="s">
        <v>158</v>
      </c>
      <c r="D295" s="2" t="s">
        <v>306</v>
      </c>
      <c r="E295" s="2" t="s">
        <v>201</v>
      </c>
      <c r="F295" s="2" t="s">
        <v>82</v>
      </c>
      <c r="G295" s="2" t="s">
        <v>27</v>
      </c>
      <c r="H295" s="2" t="s">
        <v>19</v>
      </c>
      <c r="I295" s="2" t="s">
        <v>161</v>
      </c>
      <c r="J295" s="2" t="s">
        <v>307</v>
      </c>
      <c r="K295" s="2">
        <f>MIN(25,ROUNDUP(J295/12,0))</f>
        <v>7</v>
      </c>
      <c r="L295" s="2">
        <f>C295-K295</f>
        <v>-4</v>
      </c>
    </row>
    <row r="296" spans="1:12" x14ac:dyDescent="0.2">
      <c r="A296" s="2" t="s">
        <v>449</v>
      </c>
      <c r="B296" s="2" t="s">
        <v>114</v>
      </c>
      <c r="C296" s="2" t="s">
        <v>14</v>
      </c>
      <c r="D296" s="2" t="s">
        <v>450</v>
      </c>
      <c r="E296" s="2" t="s">
        <v>87</v>
      </c>
      <c r="F296" s="2" t="s">
        <v>82</v>
      </c>
      <c r="G296" s="2" t="s">
        <v>116</v>
      </c>
      <c r="H296" s="2" t="s">
        <v>19</v>
      </c>
      <c r="I296" s="2" t="s">
        <v>20</v>
      </c>
      <c r="J296" s="2" t="s">
        <v>451</v>
      </c>
      <c r="K296" s="2">
        <f>MIN(25,ROUNDUP(J296/12,0))</f>
        <v>25</v>
      </c>
      <c r="L296" s="2">
        <f>C296-K296</f>
        <v>-4</v>
      </c>
    </row>
    <row r="297" spans="1:12" x14ac:dyDescent="0.2">
      <c r="A297" s="2" t="s">
        <v>487</v>
      </c>
      <c r="B297" s="2" t="s">
        <v>114</v>
      </c>
      <c r="C297" s="2" t="s">
        <v>14</v>
      </c>
      <c r="D297" s="2" t="s">
        <v>488</v>
      </c>
      <c r="E297" s="2" t="s">
        <v>236</v>
      </c>
      <c r="F297" s="2" t="s">
        <v>47</v>
      </c>
      <c r="G297" s="2" t="s">
        <v>116</v>
      </c>
      <c r="H297" s="2" t="s">
        <v>19</v>
      </c>
      <c r="I297" s="2" t="s">
        <v>20</v>
      </c>
      <c r="J297" s="2" t="s">
        <v>489</v>
      </c>
      <c r="K297" s="2">
        <f>MIN(25,ROUNDUP(J297/12,0))</f>
        <v>25</v>
      </c>
      <c r="L297" s="2">
        <f>C297-K297</f>
        <v>-4</v>
      </c>
    </row>
    <row r="298" spans="1:12" x14ac:dyDescent="0.2">
      <c r="A298" s="2" t="s">
        <v>512</v>
      </c>
      <c r="B298" s="2" t="s">
        <v>114</v>
      </c>
      <c r="C298" s="2" t="s">
        <v>14</v>
      </c>
      <c r="D298" s="2" t="s">
        <v>513</v>
      </c>
      <c r="E298" s="2" t="s">
        <v>236</v>
      </c>
      <c r="F298" s="2" t="s">
        <v>47</v>
      </c>
      <c r="G298" s="2" t="s">
        <v>116</v>
      </c>
      <c r="H298" s="2" t="s">
        <v>19</v>
      </c>
      <c r="I298" s="2" t="s">
        <v>20</v>
      </c>
      <c r="J298" s="2" t="s">
        <v>514</v>
      </c>
      <c r="K298" s="2">
        <f>MIN(25,ROUNDUP(J298/12,0))</f>
        <v>25</v>
      </c>
      <c r="L298" s="2">
        <f>C298-K298</f>
        <v>-4</v>
      </c>
    </row>
    <row r="299" spans="1:12" x14ac:dyDescent="0.2">
      <c r="A299" s="2" t="s">
        <v>577</v>
      </c>
      <c r="B299" s="2" t="s">
        <v>23</v>
      </c>
      <c r="C299" s="2" t="s">
        <v>41</v>
      </c>
      <c r="D299" s="2" t="s">
        <v>578</v>
      </c>
      <c r="E299" s="2" t="s">
        <v>33</v>
      </c>
      <c r="F299" s="2" t="s">
        <v>82</v>
      </c>
      <c r="G299" s="2" t="s">
        <v>27</v>
      </c>
      <c r="H299" s="2" t="s">
        <v>19</v>
      </c>
      <c r="I299" s="2" t="s">
        <v>49</v>
      </c>
      <c r="J299" s="2" t="s">
        <v>579</v>
      </c>
      <c r="K299" s="2">
        <f>MIN(25,ROUNDUP(J299/12,0))</f>
        <v>10</v>
      </c>
      <c r="L299" s="2">
        <f>C299-K299</f>
        <v>-4</v>
      </c>
    </row>
    <row r="300" spans="1:12" x14ac:dyDescent="0.2">
      <c r="A300" s="2" t="s">
        <v>657</v>
      </c>
      <c r="B300" s="2" t="s">
        <v>95</v>
      </c>
      <c r="C300" s="2" t="s">
        <v>161</v>
      </c>
      <c r="D300" s="2" t="s">
        <v>658</v>
      </c>
      <c r="E300" s="2" t="s">
        <v>121</v>
      </c>
      <c r="F300" s="2" t="s">
        <v>82</v>
      </c>
      <c r="G300" s="2" t="s">
        <v>98</v>
      </c>
      <c r="H300" s="2" t="s">
        <v>19</v>
      </c>
      <c r="I300" s="2" t="s">
        <v>187</v>
      </c>
      <c r="J300" s="2" t="s">
        <v>659</v>
      </c>
      <c r="K300" s="2">
        <f>MIN(25,ROUNDUP(J300/12,0))</f>
        <v>9</v>
      </c>
      <c r="L300" s="2">
        <f>C300-K300</f>
        <v>-4</v>
      </c>
    </row>
    <row r="301" spans="1:12" x14ac:dyDescent="0.2">
      <c r="A301" s="2" t="s">
        <v>706</v>
      </c>
      <c r="B301" s="2" t="s">
        <v>59</v>
      </c>
      <c r="C301" s="2" t="s">
        <v>14</v>
      </c>
      <c r="D301" s="2" t="s">
        <v>707</v>
      </c>
      <c r="E301" s="2" t="s">
        <v>54</v>
      </c>
      <c r="F301" s="2" t="s">
        <v>47</v>
      </c>
      <c r="G301" s="2" t="s">
        <v>63</v>
      </c>
      <c r="H301" s="2" t="s">
        <v>19</v>
      </c>
      <c r="I301" s="2" t="s">
        <v>20</v>
      </c>
      <c r="J301" s="2" t="s">
        <v>708</v>
      </c>
      <c r="K301" s="2">
        <f>MIN(25,ROUNDUP(J301/12,0))</f>
        <v>25</v>
      </c>
      <c r="L301" s="2">
        <f>C301-K301</f>
        <v>-4</v>
      </c>
    </row>
    <row r="302" spans="1:12" x14ac:dyDescent="0.2">
      <c r="A302" s="2" t="s">
        <v>769</v>
      </c>
      <c r="B302" s="2" t="s">
        <v>95</v>
      </c>
      <c r="C302" s="2" t="s">
        <v>60</v>
      </c>
      <c r="D302" s="2" t="s">
        <v>770</v>
      </c>
      <c r="E302" s="2" t="s">
        <v>87</v>
      </c>
      <c r="F302" s="2" t="s">
        <v>82</v>
      </c>
      <c r="G302" s="2" t="s">
        <v>98</v>
      </c>
      <c r="H302" s="2" t="s">
        <v>19</v>
      </c>
      <c r="I302" s="2" t="s">
        <v>64</v>
      </c>
      <c r="J302" s="2" t="s">
        <v>771</v>
      </c>
      <c r="K302" s="2">
        <f>MIN(25,ROUNDUP(J302/12,0))</f>
        <v>20</v>
      </c>
      <c r="L302" s="2">
        <f>C302-K302</f>
        <v>-4</v>
      </c>
    </row>
    <row r="303" spans="1:12" x14ac:dyDescent="0.2">
      <c r="A303" s="2" t="s">
        <v>1155</v>
      </c>
      <c r="B303" s="2" t="s">
        <v>67</v>
      </c>
      <c r="C303" s="2" t="s">
        <v>14</v>
      </c>
      <c r="D303" s="2" t="s">
        <v>1156</v>
      </c>
      <c r="E303" s="2" t="s">
        <v>33</v>
      </c>
      <c r="F303" s="2" t="s">
        <v>17</v>
      </c>
      <c r="G303" s="2" t="s">
        <v>71</v>
      </c>
      <c r="H303" s="2" t="s">
        <v>19</v>
      </c>
      <c r="I303" s="2" t="s">
        <v>20</v>
      </c>
      <c r="J303" s="2" t="s">
        <v>1157</v>
      </c>
      <c r="K303" s="2">
        <f>MIN(25,ROUNDUP(J303/12,0))</f>
        <v>25</v>
      </c>
      <c r="L303" s="2">
        <f>C303-K303</f>
        <v>-4</v>
      </c>
    </row>
    <row r="304" spans="1:12" x14ac:dyDescent="0.2">
      <c r="A304" s="2" t="s">
        <v>157</v>
      </c>
      <c r="B304" s="2" t="s">
        <v>80</v>
      </c>
      <c r="C304" s="2" t="s">
        <v>158</v>
      </c>
      <c r="D304" s="2" t="s">
        <v>159</v>
      </c>
      <c r="E304" s="2" t="s">
        <v>132</v>
      </c>
      <c r="F304" s="2" t="s">
        <v>160</v>
      </c>
      <c r="G304" s="2" t="s">
        <v>83</v>
      </c>
      <c r="H304" s="2" t="s">
        <v>19</v>
      </c>
      <c r="I304" s="2" t="s">
        <v>161</v>
      </c>
      <c r="J304" s="2" t="s">
        <v>162</v>
      </c>
      <c r="K304" s="2">
        <f>MIN(25,ROUNDUP(J304/12,0))</f>
        <v>8</v>
      </c>
      <c r="L304" s="2">
        <f>C304-K304</f>
        <v>-5</v>
      </c>
    </row>
    <row r="305" spans="1:12" x14ac:dyDescent="0.2">
      <c r="A305" s="2" t="s">
        <v>196</v>
      </c>
      <c r="B305" s="2" t="s">
        <v>101</v>
      </c>
      <c r="C305" s="2" t="s">
        <v>52</v>
      </c>
      <c r="D305" s="2" t="s">
        <v>197</v>
      </c>
      <c r="E305" s="2" t="s">
        <v>172</v>
      </c>
      <c r="F305" s="2" t="s">
        <v>47</v>
      </c>
      <c r="G305" s="2" t="s">
        <v>104</v>
      </c>
      <c r="H305" s="2" t="s">
        <v>19</v>
      </c>
      <c r="I305" s="2" t="s">
        <v>56</v>
      </c>
      <c r="J305" s="2" t="s">
        <v>198</v>
      </c>
      <c r="K305" s="2">
        <f>MIN(25,ROUNDUP(J305/12,0))</f>
        <v>25</v>
      </c>
      <c r="L305" s="2">
        <f>C305-K305</f>
        <v>-5</v>
      </c>
    </row>
    <row r="306" spans="1:12" x14ac:dyDescent="0.2">
      <c r="A306" s="2" t="s">
        <v>225</v>
      </c>
      <c r="B306" s="2" t="s">
        <v>74</v>
      </c>
      <c r="C306" s="2" t="s">
        <v>187</v>
      </c>
      <c r="D306" s="2" t="s">
        <v>226</v>
      </c>
      <c r="E306" s="2" t="s">
        <v>62</v>
      </c>
      <c r="F306" s="2" t="s">
        <v>47</v>
      </c>
      <c r="G306" s="2" t="s">
        <v>77</v>
      </c>
      <c r="H306" s="2" t="s">
        <v>19</v>
      </c>
      <c r="I306" s="2" t="s">
        <v>189</v>
      </c>
      <c r="J306" s="2" t="s">
        <v>227</v>
      </c>
      <c r="K306" s="2">
        <f>MIN(25,ROUNDUP(J306/12,0))</f>
        <v>12</v>
      </c>
      <c r="L306" s="2">
        <f>C306-K306</f>
        <v>-5</v>
      </c>
    </row>
    <row r="307" spans="1:12" x14ac:dyDescent="0.2">
      <c r="A307" s="2" t="s">
        <v>386</v>
      </c>
      <c r="B307" s="2" t="s">
        <v>74</v>
      </c>
      <c r="C307" s="2" t="s">
        <v>41</v>
      </c>
      <c r="D307" s="2" t="s">
        <v>387</v>
      </c>
      <c r="E307" s="2" t="s">
        <v>236</v>
      </c>
      <c r="F307" s="2" t="s">
        <v>26</v>
      </c>
      <c r="G307" s="2" t="s">
        <v>77</v>
      </c>
      <c r="H307" s="2" t="s">
        <v>19</v>
      </c>
      <c r="I307" s="2" t="s">
        <v>49</v>
      </c>
      <c r="J307" s="2" t="s">
        <v>388</v>
      </c>
      <c r="K307" s="2">
        <f>MIN(25,ROUNDUP(J307/12,0))</f>
        <v>11</v>
      </c>
      <c r="L307" s="2">
        <f>C307-K307</f>
        <v>-5</v>
      </c>
    </row>
    <row r="308" spans="1:12" x14ac:dyDescent="0.2">
      <c r="A308" s="2" t="s">
        <v>585</v>
      </c>
      <c r="B308" s="2" t="s">
        <v>44</v>
      </c>
      <c r="C308" s="2" t="s">
        <v>187</v>
      </c>
      <c r="D308" s="2" t="s">
        <v>586</v>
      </c>
      <c r="E308" s="2" t="s">
        <v>103</v>
      </c>
      <c r="F308" s="2" t="s">
        <v>47</v>
      </c>
      <c r="G308" s="2" t="s">
        <v>48</v>
      </c>
      <c r="H308" s="2" t="s">
        <v>19</v>
      </c>
      <c r="I308" s="2" t="s">
        <v>189</v>
      </c>
      <c r="J308" s="2" t="s">
        <v>587</v>
      </c>
      <c r="K308" s="2">
        <f>MIN(25,ROUNDUP(J308/12,0))</f>
        <v>12</v>
      </c>
      <c r="L308" s="2">
        <f>C308-K308</f>
        <v>-5</v>
      </c>
    </row>
    <row r="309" spans="1:12" x14ac:dyDescent="0.2">
      <c r="A309" s="2" t="s">
        <v>621</v>
      </c>
      <c r="B309" s="2" t="s">
        <v>129</v>
      </c>
      <c r="C309" s="2" t="s">
        <v>192</v>
      </c>
      <c r="D309" s="2" t="s">
        <v>622</v>
      </c>
      <c r="E309" s="2" t="s">
        <v>87</v>
      </c>
      <c r="F309" s="2" t="s">
        <v>133</v>
      </c>
      <c r="G309" s="2" t="s">
        <v>134</v>
      </c>
      <c r="H309" s="2" t="s">
        <v>19</v>
      </c>
      <c r="I309" s="2" t="s">
        <v>38</v>
      </c>
      <c r="J309" s="2" t="s">
        <v>623</v>
      </c>
      <c r="K309" s="2">
        <f>MIN(25,ROUNDUP(J309/12,0))</f>
        <v>7</v>
      </c>
      <c r="L309" s="2">
        <f>C309-K309</f>
        <v>-5</v>
      </c>
    </row>
    <row r="310" spans="1:12" x14ac:dyDescent="0.2">
      <c r="A310" s="2" t="s">
        <v>724</v>
      </c>
      <c r="B310" s="2" t="s">
        <v>129</v>
      </c>
      <c r="C310" s="2" t="s">
        <v>221</v>
      </c>
      <c r="D310" s="2" t="s">
        <v>725</v>
      </c>
      <c r="E310" s="2" t="s">
        <v>46</v>
      </c>
      <c r="F310" s="2" t="s">
        <v>47</v>
      </c>
      <c r="G310" s="2" t="s">
        <v>134</v>
      </c>
      <c r="H310" s="2" t="s">
        <v>19</v>
      </c>
      <c r="I310" s="2" t="s">
        <v>158</v>
      </c>
      <c r="J310" s="2" t="s">
        <v>726</v>
      </c>
      <c r="K310" s="2">
        <f>MIN(25,ROUNDUP(J310/12,0))</f>
        <v>6</v>
      </c>
      <c r="L310" s="2">
        <f>C310-K310</f>
        <v>-5</v>
      </c>
    </row>
    <row r="311" spans="1:12" x14ac:dyDescent="0.2">
      <c r="A311" s="2" t="s">
        <v>983</v>
      </c>
      <c r="B311" s="2" t="s">
        <v>80</v>
      </c>
      <c r="C311" s="2" t="s">
        <v>64</v>
      </c>
      <c r="D311" s="2" t="s">
        <v>984</v>
      </c>
      <c r="E311" s="2" t="s">
        <v>62</v>
      </c>
      <c r="F311" s="2" t="s">
        <v>47</v>
      </c>
      <c r="G311" s="2" t="s">
        <v>83</v>
      </c>
      <c r="H311" s="2" t="s">
        <v>19</v>
      </c>
      <c r="I311" s="2" t="s">
        <v>52</v>
      </c>
      <c r="J311" s="2" t="s">
        <v>985</v>
      </c>
      <c r="K311" s="2">
        <f>MIN(25,ROUNDUP(J311/12,0))</f>
        <v>23</v>
      </c>
      <c r="L311" s="2">
        <f>C311-K311</f>
        <v>-5</v>
      </c>
    </row>
    <row r="312" spans="1:12" x14ac:dyDescent="0.2">
      <c r="A312" s="2" t="s">
        <v>191</v>
      </c>
      <c r="B312" s="2" t="s">
        <v>101</v>
      </c>
      <c r="C312" s="2" t="s">
        <v>192</v>
      </c>
      <c r="D312" s="2" t="s">
        <v>193</v>
      </c>
      <c r="E312" s="2" t="s">
        <v>194</v>
      </c>
      <c r="F312" s="2" t="s">
        <v>17</v>
      </c>
      <c r="G312" s="2" t="s">
        <v>104</v>
      </c>
      <c r="H312" s="2" t="s">
        <v>19</v>
      </c>
      <c r="I312" s="2" t="s">
        <v>38</v>
      </c>
      <c r="J312" s="2" t="s">
        <v>195</v>
      </c>
      <c r="K312" s="2">
        <f>MIN(25,ROUNDUP(J312/12,0))</f>
        <v>8</v>
      </c>
      <c r="L312" s="2">
        <f>C312-K312</f>
        <v>-6</v>
      </c>
    </row>
    <row r="313" spans="1:12" x14ac:dyDescent="0.2">
      <c r="A313" s="2" t="s">
        <v>246</v>
      </c>
      <c r="B313" s="2" t="s">
        <v>95</v>
      </c>
      <c r="C313" s="2" t="s">
        <v>38</v>
      </c>
      <c r="D313" s="2" t="s">
        <v>247</v>
      </c>
      <c r="E313" s="2" t="s">
        <v>25</v>
      </c>
      <c r="F313" s="2" t="s">
        <v>47</v>
      </c>
      <c r="G313" s="2" t="s">
        <v>98</v>
      </c>
      <c r="H313" s="2" t="s">
        <v>19</v>
      </c>
      <c r="I313" s="2" t="s">
        <v>41</v>
      </c>
      <c r="J313" s="2" t="s">
        <v>248</v>
      </c>
      <c r="K313" s="2">
        <f>MIN(25,ROUNDUP(J313/12,0))</f>
        <v>10</v>
      </c>
      <c r="L313" s="2">
        <f>C313-K313</f>
        <v>-6</v>
      </c>
    </row>
    <row r="314" spans="1:12" x14ac:dyDescent="0.2">
      <c r="A314" s="2" t="s">
        <v>367</v>
      </c>
      <c r="B314" s="2" t="s">
        <v>23</v>
      </c>
      <c r="C314" s="2" t="s">
        <v>189</v>
      </c>
      <c r="D314" s="2" t="s">
        <v>368</v>
      </c>
      <c r="E314" s="2" t="s">
        <v>16</v>
      </c>
      <c r="F314" s="2" t="s">
        <v>26</v>
      </c>
      <c r="G314" s="2" t="s">
        <v>27</v>
      </c>
      <c r="H314" s="2" t="s">
        <v>19</v>
      </c>
      <c r="I314" s="2" t="s">
        <v>119</v>
      </c>
      <c r="J314" s="2" t="s">
        <v>369</v>
      </c>
      <c r="K314" s="2">
        <f>MIN(25,ROUNDUP(J314/12,0))</f>
        <v>15</v>
      </c>
      <c r="L314" s="2">
        <f>C314-K314</f>
        <v>-6</v>
      </c>
    </row>
    <row r="315" spans="1:12" x14ac:dyDescent="0.2">
      <c r="A315" s="2" t="s">
        <v>515</v>
      </c>
      <c r="B315" s="2" t="s">
        <v>101</v>
      </c>
      <c r="C315" s="2" t="s">
        <v>35</v>
      </c>
      <c r="D315" s="2" t="s">
        <v>516</v>
      </c>
      <c r="E315" s="2" t="s">
        <v>151</v>
      </c>
      <c r="F315" s="2" t="s">
        <v>47</v>
      </c>
      <c r="G315" s="2" t="s">
        <v>104</v>
      </c>
      <c r="H315" s="2" t="s">
        <v>19</v>
      </c>
      <c r="I315" s="2" t="s">
        <v>14</v>
      </c>
      <c r="J315" s="2" t="s">
        <v>517</v>
      </c>
      <c r="K315" s="2">
        <f>MIN(25,ROUNDUP(J315/12,0))</f>
        <v>25</v>
      </c>
      <c r="L315" s="2">
        <f>C315-K315</f>
        <v>-6</v>
      </c>
    </row>
    <row r="316" spans="1:12" x14ac:dyDescent="0.2">
      <c r="A316" s="2" t="s">
        <v>524</v>
      </c>
      <c r="B316" s="2" t="s">
        <v>67</v>
      </c>
      <c r="C316" s="2" t="s">
        <v>35</v>
      </c>
      <c r="D316" s="2" t="s">
        <v>525</v>
      </c>
      <c r="E316" s="2" t="s">
        <v>132</v>
      </c>
      <c r="F316" s="2" t="s">
        <v>17</v>
      </c>
      <c r="G316" s="2" t="s">
        <v>71</v>
      </c>
      <c r="H316" s="2" t="s">
        <v>19</v>
      </c>
      <c r="I316" s="2" t="s">
        <v>14</v>
      </c>
      <c r="J316" s="2" t="s">
        <v>526</v>
      </c>
      <c r="K316" s="2">
        <f>MIN(25,ROUNDUP(J316/12,0))</f>
        <v>25</v>
      </c>
      <c r="L316" s="2">
        <f>C316-K316</f>
        <v>-6</v>
      </c>
    </row>
    <row r="317" spans="1:12" x14ac:dyDescent="0.2">
      <c r="A317" s="2" t="s">
        <v>631</v>
      </c>
      <c r="B317" s="2" t="s">
        <v>30</v>
      </c>
      <c r="C317" s="2" t="s">
        <v>130</v>
      </c>
      <c r="D317" s="2" t="s">
        <v>632</v>
      </c>
      <c r="E317" s="2" t="s">
        <v>168</v>
      </c>
      <c r="F317" s="2" t="s">
        <v>17</v>
      </c>
      <c r="G317" s="2" t="s">
        <v>34</v>
      </c>
      <c r="H317" s="2" t="s">
        <v>19</v>
      </c>
      <c r="I317" s="2" t="s">
        <v>125</v>
      </c>
      <c r="J317" s="2" t="s">
        <v>633</v>
      </c>
      <c r="K317" s="2">
        <f>MIN(25,ROUNDUP(J317/12,0))</f>
        <v>16</v>
      </c>
      <c r="L317" s="2">
        <f>C317-K317</f>
        <v>-6</v>
      </c>
    </row>
    <row r="318" spans="1:12" x14ac:dyDescent="0.2">
      <c r="A318" s="2" t="s">
        <v>665</v>
      </c>
      <c r="B318" s="2" t="s">
        <v>23</v>
      </c>
      <c r="C318" s="2" t="s">
        <v>187</v>
      </c>
      <c r="D318" s="2" t="s">
        <v>666</v>
      </c>
      <c r="E318" s="2" t="s">
        <v>97</v>
      </c>
      <c r="F318" s="2" t="s">
        <v>26</v>
      </c>
      <c r="G318" s="2" t="s">
        <v>27</v>
      </c>
      <c r="H318" s="2" t="s">
        <v>19</v>
      </c>
      <c r="I318" s="2" t="s">
        <v>189</v>
      </c>
      <c r="J318" s="2" t="s">
        <v>636</v>
      </c>
      <c r="K318" s="2">
        <f>MIN(25,ROUNDUP(J318/12,0))</f>
        <v>13</v>
      </c>
      <c r="L318" s="2">
        <f>C318-K318</f>
        <v>-6</v>
      </c>
    </row>
    <row r="319" spans="1:12" x14ac:dyDescent="0.2">
      <c r="A319" s="2" t="s">
        <v>717</v>
      </c>
      <c r="B319" s="2" t="s">
        <v>30</v>
      </c>
      <c r="C319" s="2" t="s">
        <v>187</v>
      </c>
      <c r="D319" s="2" t="s">
        <v>718</v>
      </c>
      <c r="E319" s="2" t="s">
        <v>288</v>
      </c>
      <c r="F319" s="2" t="s">
        <v>223</v>
      </c>
      <c r="G319" s="2" t="s">
        <v>34</v>
      </c>
      <c r="H319" s="2" t="s">
        <v>19</v>
      </c>
      <c r="I319" s="2" t="s">
        <v>189</v>
      </c>
      <c r="J319" s="2" t="s">
        <v>156</v>
      </c>
      <c r="K319" s="2">
        <f>MIN(25,ROUNDUP(J319/12,0))</f>
        <v>13</v>
      </c>
      <c r="L319" s="2">
        <f>C319-K319</f>
        <v>-6</v>
      </c>
    </row>
    <row r="320" spans="1:12" x14ac:dyDescent="0.2">
      <c r="A320" s="2" t="s">
        <v>730</v>
      </c>
      <c r="B320" s="2" t="s">
        <v>129</v>
      </c>
      <c r="C320" s="2" t="s">
        <v>41</v>
      </c>
      <c r="D320" s="2" t="s">
        <v>731</v>
      </c>
      <c r="E320" s="2" t="s">
        <v>70</v>
      </c>
      <c r="F320" s="2" t="s">
        <v>26</v>
      </c>
      <c r="G320" s="2" t="s">
        <v>134</v>
      </c>
      <c r="H320" s="2" t="s">
        <v>19</v>
      </c>
      <c r="I320" s="2" t="s">
        <v>49</v>
      </c>
      <c r="J320" s="2" t="s">
        <v>237</v>
      </c>
      <c r="K320" s="2">
        <f>MIN(25,ROUNDUP(J320/12,0))</f>
        <v>12</v>
      </c>
      <c r="L320" s="2">
        <f>C320-K320</f>
        <v>-6</v>
      </c>
    </row>
    <row r="321" spans="1:12" x14ac:dyDescent="0.2">
      <c r="A321" s="2" t="s">
        <v>766</v>
      </c>
      <c r="B321" s="2" t="s">
        <v>129</v>
      </c>
      <c r="C321" s="2" t="s">
        <v>60</v>
      </c>
      <c r="D321" s="2" t="s">
        <v>767</v>
      </c>
      <c r="E321" s="2" t="s">
        <v>46</v>
      </c>
      <c r="F321" s="2" t="s">
        <v>47</v>
      </c>
      <c r="G321" s="2" t="s">
        <v>134</v>
      </c>
      <c r="H321" s="2" t="s">
        <v>19</v>
      </c>
      <c r="I321" s="2" t="s">
        <v>64</v>
      </c>
      <c r="J321" s="2" t="s">
        <v>768</v>
      </c>
      <c r="K321" s="2">
        <f>MIN(25,ROUNDUP(J321/12,0))</f>
        <v>22</v>
      </c>
      <c r="L321" s="2">
        <f>C321-K321</f>
        <v>-6</v>
      </c>
    </row>
    <row r="322" spans="1:12" x14ac:dyDescent="0.2">
      <c r="A322" s="2" t="s">
        <v>217</v>
      </c>
      <c r="B322" s="2" t="s">
        <v>95</v>
      </c>
      <c r="C322" s="2" t="s">
        <v>158</v>
      </c>
      <c r="D322" s="2" t="s">
        <v>218</v>
      </c>
      <c r="E322" s="2" t="s">
        <v>177</v>
      </c>
      <c r="F322" s="2" t="s">
        <v>133</v>
      </c>
      <c r="G322" s="2" t="s">
        <v>98</v>
      </c>
      <c r="H322" s="2" t="s">
        <v>19</v>
      </c>
      <c r="I322" s="2" t="s">
        <v>161</v>
      </c>
      <c r="J322" s="2" t="s">
        <v>219</v>
      </c>
      <c r="K322" s="2">
        <f>MIN(25,ROUNDUP(J322/12,0))</f>
        <v>10</v>
      </c>
      <c r="L322" s="2">
        <f>C322-K322</f>
        <v>-7</v>
      </c>
    </row>
    <row r="323" spans="1:12" x14ac:dyDescent="0.2">
      <c r="A323" s="2" t="s">
        <v>252</v>
      </c>
      <c r="B323" s="2" t="s">
        <v>30</v>
      </c>
      <c r="C323" s="2" t="s">
        <v>64</v>
      </c>
      <c r="D323" s="2" t="s">
        <v>253</v>
      </c>
      <c r="E323" s="2" t="s">
        <v>254</v>
      </c>
      <c r="F323" s="2" t="s">
        <v>255</v>
      </c>
      <c r="G323" s="2" t="s">
        <v>34</v>
      </c>
      <c r="H323" s="2" t="s">
        <v>19</v>
      </c>
      <c r="I323" s="2" t="s">
        <v>52</v>
      </c>
      <c r="J323" s="2" t="s">
        <v>256</v>
      </c>
      <c r="K323" s="2">
        <f>MIN(25,ROUNDUP(J323/12,0))</f>
        <v>25</v>
      </c>
      <c r="L323" s="2">
        <f>C323-K323</f>
        <v>-7</v>
      </c>
    </row>
    <row r="324" spans="1:12" x14ac:dyDescent="0.2">
      <c r="A324" s="2" t="s">
        <v>269</v>
      </c>
      <c r="B324" s="2" t="s">
        <v>101</v>
      </c>
      <c r="C324" s="2" t="s">
        <v>49</v>
      </c>
      <c r="D324" s="2" t="s">
        <v>270</v>
      </c>
      <c r="E324" s="2" t="s">
        <v>236</v>
      </c>
      <c r="F324" s="2" t="s">
        <v>160</v>
      </c>
      <c r="G324" s="2" t="s">
        <v>104</v>
      </c>
      <c r="H324" s="2" t="s">
        <v>19</v>
      </c>
      <c r="I324" s="2" t="s">
        <v>130</v>
      </c>
      <c r="J324" s="2" t="s">
        <v>271</v>
      </c>
      <c r="K324" s="2">
        <f>MIN(25,ROUNDUP(J324/12,0))</f>
        <v>15</v>
      </c>
      <c r="L324" s="2">
        <f>C324-K324</f>
        <v>-7</v>
      </c>
    </row>
    <row r="325" spans="1:12" x14ac:dyDescent="0.2">
      <c r="A325" s="2" t="s">
        <v>327</v>
      </c>
      <c r="B325" s="2" t="s">
        <v>13</v>
      </c>
      <c r="C325" s="2" t="s">
        <v>189</v>
      </c>
      <c r="D325" s="2" t="s">
        <v>328</v>
      </c>
      <c r="E325" s="2" t="s">
        <v>284</v>
      </c>
      <c r="F325" s="2" t="s">
        <v>133</v>
      </c>
      <c r="G325" s="2" t="s">
        <v>18</v>
      </c>
      <c r="H325" s="2" t="s">
        <v>19</v>
      </c>
      <c r="I325" s="2" t="s">
        <v>119</v>
      </c>
      <c r="J325" s="2" t="s">
        <v>329</v>
      </c>
      <c r="K325" s="2">
        <f>MIN(25,ROUNDUP(J325/12,0))</f>
        <v>16</v>
      </c>
      <c r="L325" s="2">
        <f>C325-K325</f>
        <v>-7</v>
      </c>
    </row>
    <row r="326" spans="1:12" x14ac:dyDescent="0.2">
      <c r="A326" s="2" t="s">
        <v>333</v>
      </c>
      <c r="B326" s="2" t="s">
        <v>13</v>
      </c>
      <c r="C326" s="2" t="s">
        <v>64</v>
      </c>
      <c r="D326" s="2" t="s">
        <v>334</v>
      </c>
      <c r="E326" s="2" t="s">
        <v>335</v>
      </c>
      <c r="F326" s="2" t="s">
        <v>26</v>
      </c>
      <c r="G326" s="2" t="s">
        <v>18</v>
      </c>
      <c r="H326" s="2" t="s">
        <v>19</v>
      </c>
      <c r="I326" s="2" t="s">
        <v>52</v>
      </c>
      <c r="J326" s="2" t="s">
        <v>336</v>
      </c>
      <c r="K326" s="2">
        <f>MIN(25,ROUNDUP(J326/12,0))</f>
        <v>25</v>
      </c>
      <c r="L326" s="2">
        <f>C326-K326</f>
        <v>-7</v>
      </c>
    </row>
    <row r="327" spans="1:12" x14ac:dyDescent="0.2">
      <c r="A327" s="2" t="s">
        <v>353</v>
      </c>
      <c r="B327" s="2" t="s">
        <v>23</v>
      </c>
      <c r="C327" s="2" t="s">
        <v>38</v>
      </c>
      <c r="D327" s="2" t="s">
        <v>354</v>
      </c>
      <c r="E327" s="2" t="s">
        <v>40</v>
      </c>
      <c r="F327" s="2" t="s">
        <v>223</v>
      </c>
      <c r="G327" s="2" t="s">
        <v>27</v>
      </c>
      <c r="H327" s="2" t="s">
        <v>19</v>
      </c>
      <c r="I327" s="2" t="s">
        <v>41</v>
      </c>
      <c r="J327" s="2" t="s">
        <v>332</v>
      </c>
      <c r="K327" s="2">
        <f>MIN(25,ROUNDUP(J327/12,0))</f>
        <v>11</v>
      </c>
      <c r="L327" s="2">
        <f>C327-K327</f>
        <v>-7</v>
      </c>
    </row>
    <row r="328" spans="1:12" x14ac:dyDescent="0.2">
      <c r="A328" s="2" t="s">
        <v>427</v>
      </c>
      <c r="B328" s="2" t="s">
        <v>59</v>
      </c>
      <c r="C328" s="2" t="s">
        <v>38</v>
      </c>
      <c r="D328" s="2" t="s">
        <v>428</v>
      </c>
      <c r="E328" s="2" t="s">
        <v>46</v>
      </c>
      <c r="F328" s="2" t="s">
        <v>82</v>
      </c>
      <c r="G328" s="2" t="s">
        <v>63</v>
      </c>
      <c r="H328" s="2" t="s">
        <v>19</v>
      </c>
      <c r="I328" s="2" t="s">
        <v>41</v>
      </c>
      <c r="J328" s="2" t="s">
        <v>429</v>
      </c>
      <c r="K328" s="2">
        <f>MIN(25,ROUNDUP(J328/12,0))</f>
        <v>11</v>
      </c>
      <c r="L328" s="2">
        <f>C328-K328</f>
        <v>-7</v>
      </c>
    </row>
    <row r="329" spans="1:12" x14ac:dyDescent="0.2">
      <c r="A329" s="2" t="s">
        <v>433</v>
      </c>
      <c r="B329" s="2" t="s">
        <v>44</v>
      </c>
      <c r="C329" s="2" t="s">
        <v>64</v>
      </c>
      <c r="D329" s="2" t="s">
        <v>434</v>
      </c>
      <c r="E329" s="2" t="s">
        <v>25</v>
      </c>
      <c r="F329" s="2" t="s">
        <v>82</v>
      </c>
      <c r="G329" s="2" t="s">
        <v>48</v>
      </c>
      <c r="H329" s="2" t="s">
        <v>19</v>
      </c>
      <c r="I329" s="2" t="s">
        <v>52</v>
      </c>
      <c r="J329" s="2" t="s">
        <v>435</v>
      </c>
      <c r="K329" s="2">
        <f>MIN(25,ROUNDUP(J329/12,0))</f>
        <v>25</v>
      </c>
      <c r="L329" s="2">
        <f>C329-K329</f>
        <v>-7</v>
      </c>
    </row>
    <row r="330" spans="1:12" x14ac:dyDescent="0.2">
      <c r="A330" s="2" t="s">
        <v>521</v>
      </c>
      <c r="B330" s="2" t="s">
        <v>114</v>
      </c>
      <c r="C330" s="2" t="s">
        <v>64</v>
      </c>
      <c r="D330" s="2" t="s">
        <v>522</v>
      </c>
      <c r="E330" s="2" t="s">
        <v>40</v>
      </c>
      <c r="F330" s="2" t="s">
        <v>47</v>
      </c>
      <c r="G330" s="2" t="s">
        <v>116</v>
      </c>
      <c r="H330" s="2" t="s">
        <v>19</v>
      </c>
      <c r="I330" s="2" t="s">
        <v>52</v>
      </c>
      <c r="J330" s="2" t="s">
        <v>523</v>
      </c>
      <c r="K330" s="2">
        <f>MIN(25,ROUNDUP(J330/12,0))</f>
        <v>25</v>
      </c>
      <c r="L330" s="2">
        <f>C330-K330</f>
        <v>-7</v>
      </c>
    </row>
    <row r="331" spans="1:12" x14ac:dyDescent="0.2">
      <c r="A331" s="2" t="s">
        <v>603</v>
      </c>
      <c r="B331" s="2" t="s">
        <v>13</v>
      </c>
      <c r="C331" s="2" t="s">
        <v>221</v>
      </c>
      <c r="D331" s="2" t="s">
        <v>604</v>
      </c>
      <c r="E331" s="2" t="s">
        <v>87</v>
      </c>
      <c r="F331" s="2" t="s">
        <v>17</v>
      </c>
      <c r="G331" s="2" t="s">
        <v>18</v>
      </c>
      <c r="H331" s="2" t="s">
        <v>19</v>
      </c>
      <c r="I331" s="2" t="s">
        <v>158</v>
      </c>
      <c r="J331" s="2" t="s">
        <v>605</v>
      </c>
      <c r="K331" s="2">
        <f>MIN(25,ROUNDUP(J331/12,0))</f>
        <v>8</v>
      </c>
      <c r="L331" s="2">
        <f>C331-K331</f>
        <v>-7</v>
      </c>
    </row>
    <row r="332" spans="1:12" x14ac:dyDescent="0.2">
      <c r="A332" s="2" t="s">
        <v>687</v>
      </c>
      <c r="B332" s="2" t="s">
        <v>59</v>
      </c>
      <c r="C332" s="2" t="s">
        <v>187</v>
      </c>
      <c r="D332" s="2" t="s">
        <v>688</v>
      </c>
      <c r="E332" s="2" t="s">
        <v>288</v>
      </c>
      <c r="F332" s="2" t="s">
        <v>82</v>
      </c>
      <c r="G332" s="2" t="s">
        <v>63</v>
      </c>
      <c r="H332" s="2" t="s">
        <v>19</v>
      </c>
      <c r="I332" s="2" t="s">
        <v>189</v>
      </c>
      <c r="J332" s="2" t="s">
        <v>689</v>
      </c>
      <c r="K332" s="2">
        <f>MIN(25,ROUNDUP(J332/12,0))</f>
        <v>14</v>
      </c>
      <c r="L332" s="2">
        <f>C332-K332</f>
        <v>-7</v>
      </c>
    </row>
    <row r="333" spans="1:12" x14ac:dyDescent="0.2">
      <c r="A333" s="2" t="s">
        <v>690</v>
      </c>
      <c r="B333" s="2" t="s">
        <v>59</v>
      </c>
      <c r="C333" s="2" t="s">
        <v>189</v>
      </c>
      <c r="D333" s="2" t="s">
        <v>691</v>
      </c>
      <c r="E333" s="2" t="s">
        <v>168</v>
      </c>
      <c r="F333" s="2" t="s">
        <v>26</v>
      </c>
      <c r="G333" s="2" t="s">
        <v>63</v>
      </c>
      <c r="H333" s="2" t="s">
        <v>19</v>
      </c>
      <c r="I333" s="2" t="s">
        <v>119</v>
      </c>
      <c r="J333" s="2" t="s">
        <v>692</v>
      </c>
      <c r="K333" s="2">
        <f>MIN(25,ROUNDUP(J333/12,0))</f>
        <v>16</v>
      </c>
      <c r="L333" s="2">
        <f>C333-K333</f>
        <v>-7</v>
      </c>
    </row>
    <row r="334" spans="1:12" x14ac:dyDescent="0.2">
      <c r="A334" s="2" t="s">
        <v>763</v>
      </c>
      <c r="B334" s="2" t="s">
        <v>114</v>
      </c>
      <c r="C334" s="2" t="s">
        <v>64</v>
      </c>
      <c r="D334" s="2" t="s">
        <v>764</v>
      </c>
      <c r="E334" s="2" t="s">
        <v>87</v>
      </c>
      <c r="F334" s="2" t="s">
        <v>47</v>
      </c>
      <c r="G334" s="2" t="s">
        <v>116</v>
      </c>
      <c r="H334" s="2" t="s">
        <v>19</v>
      </c>
      <c r="I334" s="2" t="s">
        <v>52</v>
      </c>
      <c r="J334" s="2" t="s">
        <v>765</v>
      </c>
      <c r="K334" s="2">
        <f>MIN(25,ROUNDUP(J334/12,0))</f>
        <v>25</v>
      </c>
      <c r="L334" s="2">
        <f>C334-K334</f>
        <v>-7</v>
      </c>
    </row>
    <row r="335" spans="1:12" x14ac:dyDescent="0.2">
      <c r="A335" s="2" t="s">
        <v>967</v>
      </c>
      <c r="B335" s="2" t="s">
        <v>30</v>
      </c>
      <c r="C335" s="2" t="s">
        <v>64</v>
      </c>
      <c r="D335" s="2" t="s">
        <v>968</v>
      </c>
      <c r="E335" s="2" t="s">
        <v>168</v>
      </c>
      <c r="F335" s="2" t="s">
        <v>47</v>
      </c>
      <c r="G335" s="2" t="s">
        <v>34</v>
      </c>
      <c r="H335" s="2" t="s">
        <v>19</v>
      </c>
      <c r="I335" s="2" t="s">
        <v>52</v>
      </c>
      <c r="J335" s="2" t="s">
        <v>969</v>
      </c>
      <c r="K335" s="2">
        <f>MIN(25,ROUNDUP(J335/12,0))</f>
        <v>25</v>
      </c>
      <c r="L335" s="2">
        <f>C335-K335</f>
        <v>-7</v>
      </c>
    </row>
    <row r="336" spans="1:12" x14ac:dyDescent="0.2">
      <c r="A336" s="2" t="s">
        <v>186</v>
      </c>
      <c r="B336" s="2" t="s">
        <v>67</v>
      </c>
      <c r="C336" s="2" t="s">
        <v>187</v>
      </c>
      <c r="D336" s="2" t="s">
        <v>188</v>
      </c>
      <c r="E336" s="2" t="s">
        <v>33</v>
      </c>
      <c r="F336" s="2" t="s">
        <v>47</v>
      </c>
      <c r="G336" s="2" t="s">
        <v>71</v>
      </c>
      <c r="H336" s="2" t="s">
        <v>19</v>
      </c>
      <c r="I336" s="2" t="s">
        <v>189</v>
      </c>
      <c r="J336" s="2" t="s">
        <v>190</v>
      </c>
      <c r="K336" s="2">
        <f>MIN(25,ROUNDUP(J336/12,0))</f>
        <v>15</v>
      </c>
      <c r="L336" s="2">
        <f>C336-K336</f>
        <v>-8</v>
      </c>
    </row>
    <row r="337" spans="1:12" x14ac:dyDescent="0.2">
      <c r="A337" s="2" t="s">
        <v>318</v>
      </c>
      <c r="B337" s="2" t="s">
        <v>59</v>
      </c>
      <c r="C337" s="2" t="s">
        <v>192</v>
      </c>
      <c r="D337" s="2" t="s">
        <v>319</v>
      </c>
      <c r="E337" s="2" t="s">
        <v>25</v>
      </c>
      <c r="F337" s="2" t="s">
        <v>26</v>
      </c>
      <c r="G337" s="2" t="s">
        <v>63</v>
      </c>
      <c r="H337" s="2" t="s">
        <v>19</v>
      </c>
      <c r="I337" s="2" t="s">
        <v>38</v>
      </c>
      <c r="J337" s="2" t="s">
        <v>320</v>
      </c>
      <c r="K337" s="2">
        <f>MIN(25,ROUNDUP(J337/12,0))</f>
        <v>10</v>
      </c>
      <c r="L337" s="2">
        <f>C337-K337</f>
        <v>-8</v>
      </c>
    </row>
    <row r="338" spans="1:12" x14ac:dyDescent="0.2">
      <c r="A338" s="2" t="s">
        <v>407</v>
      </c>
      <c r="B338" s="2" t="s">
        <v>74</v>
      </c>
      <c r="C338" s="2" t="s">
        <v>31</v>
      </c>
      <c r="D338" s="2" t="s">
        <v>408</v>
      </c>
      <c r="E338" s="2" t="s">
        <v>254</v>
      </c>
      <c r="F338" s="2" t="s">
        <v>82</v>
      </c>
      <c r="G338" s="2" t="s">
        <v>77</v>
      </c>
      <c r="H338" s="2" t="s">
        <v>19</v>
      </c>
      <c r="I338" s="2" t="s">
        <v>35</v>
      </c>
      <c r="J338" s="2" t="s">
        <v>409</v>
      </c>
      <c r="K338" s="2">
        <f>MIN(25,ROUNDUP(J338/12,0))</f>
        <v>25</v>
      </c>
      <c r="L338" s="2">
        <f>C338-K338</f>
        <v>-8</v>
      </c>
    </row>
    <row r="339" spans="1:12" x14ac:dyDescent="0.2">
      <c r="A339" s="2" t="s">
        <v>548</v>
      </c>
      <c r="B339" s="2" t="s">
        <v>59</v>
      </c>
      <c r="C339" s="2" t="s">
        <v>221</v>
      </c>
      <c r="D339" s="2" t="s">
        <v>549</v>
      </c>
      <c r="E339" s="2" t="s">
        <v>201</v>
      </c>
      <c r="F339" s="2" t="s">
        <v>133</v>
      </c>
      <c r="G339" s="2" t="s">
        <v>63</v>
      </c>
      <c r="H339" s="2" t="s">
        <v>19</v>
      </c>
      <c r="I339" s="2" t="s">
        <v>158</v>
      </c>
      <c r="J339" s="2" t="s">
        <v>550</v>
      </c>
      <c r="K339" s="2">
        <f>MIN(25,ROUNDUP(J339/12,0))</f>
        <v>9</v>
      </c>
      <c r="L339" s="2">
        <f>C339-K339</f>
        <v>-8</v>
      </c>
    </row>
    <row r="340" spans="1:12" x14ac:dyDescent="0.2">
      <c r="A340" s="2" t="s">
        <v>557</v>
      </c>
      <c r="B340" s="2" t="s">
        <v>101</v>
      </c>
      <c r="C340" s="2" t="s">
        <v>161</v>
      </c>
      <c r="D340" s="2" t="s">
        <v>558</v>
      </c>
      <c r="E340" s="2" t="s">
        <v>168</v>
      </c>
      <c r="F340" s="2" t="s">
        <v>223</v>
      </c>
      <c r="G340" s="2" t="s">
        <v>104</v>
      </c>
      <c r="H340" s="2" t="s">
        <v>19</v>
      </c>
      <c r="I340" s="2" t="s">
        <v>187</v>
      </c>
      <c r="J340" s="2" t="s">
        <v>559</v>
      </c>
      <c r="K340" s="2">
        <f>MIN(25,ROUNDUP(J340/12,0))</f>
        <v>13</v>
      </c>
      <c r="L340" s="2">
        <f>C340-K340</f>
        <v>-8</v>
      </c>
    </row>
    <row r="341" spans="1:12" x14ac:dyDescent="0.2">
      <c r="A341" s="2" t="s">
        <v>634</v>
      </c>
      <c r="B341" s="2" t="s">
        <v>129</v>
      </c>
      <c r="C341" s="2" t="s">
        <v>161</v>
      </c>
      <c r="D341" s="2" t="s">
        <v>635</v>
      </c>
      <c r="E341" s="2" t="s">
        <v>254</v>
      </c>
      <c r="F341" s="2" t="s">
        <v>82</v>
      </c>
      <c r="G341" s="2" t="s">
        <v>134</v>
      </c>
      <c r="H341" s="2" t="s">
        <v>19</v>
      </c>
      <c r="I341" s="2" t="s">
        <v>187</v>
      </c>
      <c r="J341" s="2" t="s">
        <v>636</v>
      </c>
      <c r="K341" s="2">
        <f>MIN(25,ROUNDUP(J341/12,0))</f>
        <v>13</v>
      </c>
      <c r="L341" s="2">
        <f>C341-K341</f>
        <v>-8</v>
      </c>
    </row>
    <row r="342" spans="1:12" x14ac:dyDescent="0.2">
      <c r="A342" s="2" t="s">
        <v>643</v>
      </c>
      <c r="B342" s="2" t="s">
        <v>44</v>
      </c>
      <c r="C342" s="2" t="s">
        <v>189</v>
      </c>
      <c r="D342" s="2" t="s">
        <v>644</v>
      </c>
      <c r="E342" s="2" t="s">
        <v>236</v>
      </c>
      <c r="F342" s="2" t="s">
        <v>244</v>
      </c>
      <c r="G342" s="2" t="s">
        <v>48</v>
      </c>
      <c r="H342" s="2" t="s">
        <v>19</v>
      </c>
      <c r="I342" s="2" t="s">
        <v>119</v>
      </c>
      <c r="J342" s="2" t="s">
        <v>352</v>
      </c>
      <c r="K342" s="2">
        <f>MIN(25,ROUNDUP(J342/12,0))</f>
        <v>17</v>
      </c>
      <c r="L342" s="2">
        <f>C342-K342</f>
        <v>-8</v>
      </c>
    </row>
    <row r="343" spans="1:12" x14ac:dyDescent="0.2">
      <c r="A343" s="2" t="s">
        <v>722</v>
      </c>
      <c r="B343" s="2" t="s">
        <v>129</v>
      </c>
      <c r="C343" s="2" t="s">
        <v>189</v>
      </c>
      <c r="D343" s="2" t="s">
        <v>723</v>
      </c>
      <c r="E343" s="2" t="s">
        <v>288</v>
      </c>
      <c r="F343" s="2" t="s">
        <v>82</v>
      </c>
      <c r="G343" s="2" t="s">
        <v>134</v>
      </c>
      <c r="H343" s="2" t="s">
        <v>19</v>
      </c>
      <c r="I343" s="2" t="s">
        <v>119</v>
      </c>
      <c r="J343" s="2" t="s">
        <v>620</v>
      </c>
      <c r="K343" s="2">
        <f>MIN(25,ROUNDUP(J343/12,0))</f>
        <v>17</v>
      </c>
      <c r="L343" s="2">
        <f>C343-K343</f>
        <v>-8</v>
      </c>
    </row>
    <row r="344" spans="1:12" x14ac:dyDescent="0.2">
      <c r="A344" s="2" t="s">
        <v>234</v>
      </c>
      <c r="B344" s="2" t="s">
        <v>23</v>
      </c>
      <c r="C344" s="2" t="s">
        <v>158</v>
      </c>
      <c r="D344" s="2" t="s">
        <v>235</v>
      </c>
      <c r="E344" s="2" t="s">
        <v>236</v>
      </c>
      <c r="F344" s="2" t="s">
        <v>47</v>
      </c>
      <c r="G344" s="2" t="s">
        <v>27</v>
      </c>
      <c r="H344" s="2" t="s">
        <v>19</v>
      </c>
      <c r="I344" s="2" t="s">
        <v>161</v>
      </c>
      <c r="J344" s="2" t="s">
        <v>237</v>
      </c>
      <c r="K344" s="2">
        <f>MIN(25,ROUNDUP(J344/12,0))</f>
        <v>12</v>
      </c>
      <c r="L344" s="2">
        <f>C344-K344</f>
        <v>-9</v>
      </c>
    </row>
    <row r="345" spans="1:12" x14ac:dyDescent="0.2">
      <c r="A345" s="2" t="s">
        <v>324</v>
      </c>
      <c r="B345" s="2" t="s">
        <v>101</v>
      </c>
      <c r="C345" s="2" t="s">
        <v>41</v>
      </c>
      <c r="D345" s="2" t="s">
        <v>325</v>
      </c>
      <c r="E345" s="2" t="s">
        <v>236</v>
      </c>
      <c r="F345" s="2" t="s">
        <v>26</v>
      </c>
      <c r="G345" s="2" t="s">
        <v>104</v>
      </c>
      <c r="H345" s="2" t="s">
        <v>19</v>
      </c>
      <c r="I345" s="2" t="s">
        <v>49</v>
      </c>
      <c r="J345" s="2" t="s">
        <v>326</v>
      </c>
      <c r="K345" s="2">
        <f>MIN(25,ROUNDUP(J345/12,0))</f>
        <v>15</v>
      </c>
      <c r="L345" s="2">
        <f>C345-K345</f>
        <v>-9</v>
      </c>
    </row>
    <row r="346" spans="1:12" x14ac:dyDescent="0.2">
      <c r="A346" s="2" t="s">
        <v>424</v>
      </c>
      <c r="B346" s="2" t="s">
        <v>44</v>
      </c>
      <c r="C346" s="2" t="s">
        <v>125</v>
      </c>
      <c r="D346" s="2" t="s">
        <v>425</v>
      </c>
      <c r="E346" s="2" t="s">
        <v>103</v>
      </c>
      <c r="F346" s="2" t="s">
        <v>82</v>
      </c>
      <c r="G346" s="2" t="s">
        <v>48</v>
      </c>
      <c r="H346" s="2" t="s">
        <v>19</v>
      </c>
      <c r="I346" s="2" t="s">
        <v>68</v>
      </c>
      <c r="J346" s="2" t="s">
        <v>426</v>
      </c>
      <c r="K346" s="2">
        <f>MIN(25,ROUNDUP(J346/12,0))</f>
        <v>21</v>
      </c>
      <c r="L346" s="2">
        <f>C346-K346</f>
        <v>-9</v>
      </c>
    </row>
    <row r="347" spans="1:12" x14ac:dyDescent="0.2">
      <c r="A347" s="2" t="s">
        <v>442</v>
      </c>
      <c r="B347" s="2" t="s">
        <v>23</v>
      </c>
      <c r="C347" s="2" t="s">
        <v>125</v>
      </c>
      <c r="D347" s="2" t="s">
        <v>443</v>
      </c>
      <c r="E347" s="2" t="s">
        <v>243</v>
      </c>
      <c r="F347" s="2" t="s">
        <v>444</v>
      </c>
      <c r="G347" s="2" t="s">
        <v>27</v>
      </c>
      <c r="H347" s="2" t="s">
        <v>19</v>
      </c>
      <c r="I347" s="2" t="s">
        <v>68</v>
      </c>
      <c r="J347" s="2" t="s">
        <v>445</v>
      </c>
      <c r="K347" s="2">
        <f>MIN(25,ROUNDUP(J347/12,0))</f>
        <v>21</v>
      </c>
      <c r="L347" s="2">
        <f>C347-K347</f>
        <v>-9</v>
      </c>
    </row>
    <row r="348" spans="1:12" x14ac:dyDescent="0.2">
      <c r="A348" s="2" t="s">
        <v>600</v>
      </c>
      <c r="B348" s="2" t="s">
        <v>44</v>
      </c>
      <c r="C348" s="2" t="s">
        <v>187</v>
      </c>
      <c r="D348" s="2" t="s">
        <v>601</v>
      </c>
      <c r="E348" s="2" t="s">
        <v>172</v>
      </c>
      <c r="F348" s="2" t="s">
        <v>55</v>
      </c>
      <c r="G348" s="2" t="s">
        <v>48</v>
      </c>
      <c r="H348" s="2" t="s">
        <v>19</v>
      </c>
      <c r="I348" s="2" t="s">
        <v>189</v>
      </c>
      <c r="J348" s="2" t="s">
        <v>602</v>
      </c>
      <c r="K348" s="2">
        <f>MIN(25,ROUNDUP(J348/12,0))</f>
        <v>16</v>
      </c>
      <c r="L348" s="2">
        <f>C348-K348</f>
        <v>-9</v>
      </c>
    </row>
    <row r="349" spans="1:12" x14ac:dyDescent="0.2">
      <c r="A349" s="2" t="s">
        <v>612</v>
      </c>
      <c r="B349" s="2" t="s">
        <v>23</v>
      </c>
      <c r="C349" s="2" t="s">
        <v>158</v>
      </c>
      <c r="D349" s="2" t="s">
        <v>613</v>
      </c>
      <c r="E349" s="2" t="s">
        <v>155</v>
      </c>
      <c r="F349" s="2" t="s">
        <v>17</v>
      </c>
      <c r="G349" s="2" t="s">
        <v>27</v>
      </c>
      <c r="H349" s="2" t="s">
        <v>19</v>
      </c>
      <c r="I349" s="2" t="s">
        <v>161</v>
      </c>
      <c r="J349" s="2" t="s">
        <v>614</v>
      </c>
      <c r="K349" s="2">
        <f>MIN(25,ROUNDUP(J349/12,0))</f>
        <v>12</v>
      </c>
      <c r="L349" s="2">
        <f>C349-K349</f>
        <v>-9</v>
      </c>
    </row>
    <row r="350" spans="1:12" x14ac:dyDescent="0.2">
      <c r="A350" s="2" t="s">
        <v>753</v>
      </c>
      <c r="B350" s="2" t="s">
        <v>80</v>
      </c>
      <c r="C350" s="2" t="s">
        <v>68</v>
      </c>
      <c r="D350" s="2" t="s">
        <v>754</v>
      </c>
      <c r="E350" s="2" t="s">
        <v>284</v>
      </c>
      <c r="F350" s="2" t="s">
        <v>755</v>
      </c>
      <c r="G350" s="2" t="s">
        <v>83</v>
      </c>
      <c r="H350" s="2" t="s">
        <v>19</v>
      </c>
      <c r="I350" s="2" t="s">
        <v>60</v>
      </c>
      <c r="J350" s="2" t="s">
        <v>756</v>
      </c>
      <c r="K350" s="2">
        <f>MIN(25,ROUNDUP(J350/12,0))</f>
        <v>23</v>
      </c>
      <c r="L350" s="2">
        <f>C350-K350</f>
        <v>-9</v>
      </c>
    </row>
    <row r="351" spans="1:12" x14ac:dyDescent="0.2">
      <c r="A351" s="2" t="s">
        <v>760</v>
      </c>
      <c r="B351" s="2" t="s">
        <v>74</v>
      </c>
      <c r="C351" s="2" t="s">
        <v>60</v>
      </c>
      <c r="D351" s="2" t="s">
        <v>761</v>
      </c>
      <c r="E351" s="2" t="s">
        <v>46</v>
      </c>
      <c r="F351" s="2" t="s">
        <v>455</v>
      </c>
      <c r="G351" s="2" t="s">
        <v>77</v>
      </c>
      <c r="H351" s="2" t="s">
        <v>19</v>
      </c>
      <c r="I351" s="2" t="s">
        <v>64</v>
      </c>
      <c r="J351" s="2" t="s">
        <v>762</v>
      </c>
      <c r="K351" s="2">
        <f>MIN(25,ROUNDUP(J351/12,0))</f>
        <v>25</v>
      </c>
      <c r="L351" s="2">
        <f>C351-K351</f>
        <v>-9</v>
      </c>
    </row>
    <row r="352" spans="1:12" x14ac:dyDescent="0.2">
      <c r="A352" s="2" t="s">
        <v>986</v>
      </c>
      <c r="B352" s="2" t="s">
        <v>30</v>
      </c>
      <c r="C352" s="2" t="s">
        <v>221</v>
      </c>
      <c r="D352" s="2" t="s">
        <v>987</v>
      </c>
      <c r="E352" s="2" t="s">
        <v>288</v>
      </c>
      <c r="F352" s="2" t="s">
        <v>310</v>
      </c>
      <c r="G352" s="2" t="s">
        <v>34</v>
      </c>
      <c r="H352" s="2" t="s">
        <v>19</v>
      </c>
      <c r="I352" s="2" t="s">
        <v>158</v>
      </c>
      <c r="J352" s="2" t="s">
        <v>988</v>
      </c>
      <c r="K352" s="2">
        <f>MIN(25,ROUNDUP(J352/12,0))</f>
        <v>10</v>
      </c>
      <c r="L352" s="2">
        <f>C352-K352</f>
        <v>-9</v>
      </c>
    </row>
    <row r="353" spans="1:12" x14ac:dyDescent="0.2">
      <c r="A353" s="2" t="s">
        <v>266</v>
      </c>
      <c r="B353" s="2" t="s">
        <v>80</v>
      </c>
      <c r="C353" s="2" t="s">
        <v>38</v>
      </c>
      <c r="D353" s="2" t="s">
        <v>267</v>
      </c>
      <c r="E353" s="2" t="s">
        <v>168</v>
      </c>
      <c r="F353" s="2" t="s">
        <v>133</v>
      </c>
      <c r="G353" s="2" t="s">
        <v>83</v>
      </c>
      <c r="H353" s="2" t="s">
        <v>19</v>
      </c>
      <c r="I353" s="2" t="s">
        <v>41</v>
      </c>
      <c r="J353" s="2" t="s">
        <v>268</v>
      </c>
      <c r="K353" s="2">
        <f>MIN(25,ROUNDUP(J353/12,0))</f>
        <v>14</v>
      </c>
      <c r="L353" s="2">
        <f>C353-K353</f>
        <v>-10</v>
      </c>
    </row>
    <row r="354" spans="1:12" x14ac:dyDescent="0.2">
      <c r="A354" s="2" t="s">
        <v>296</v>
      </c>
      <c r="B354" s="2" t="s">
        <v>13</v>
      </c>
      <c r="C354" s="2" t="s">
        <v>161</v>
      </c>
      <c r="D354" s="2" t="s">
        <v>297</v>
      </c>
      <c r="E354" s="2" t="s">
        <v>111</v>
      </c>
      <c r="F354" s="2" t="s">
        <v>26</v>
      </c>
      <c r="G354" s="2" t="s">
        <v>18</v>
      </c>
      <c r="H354" s="2" t="s">
        <v>19</v>
      </c>
      <c r="I354" s="2" t="s">
        <v>187</v>
      </c>
      <c r="J354" s="2" t="s">
        <v>298</v>
      </c>
      <c r="K354" s="2">
        <f>MIN(25,ROUNDUP(J354/12,0))</f>
        <v>15</v>
      </c>
      <c r="L354" s="2">
        <f>C354-K354</f>
        <v>-10</v>
      </c>
    </row>
    <row r="355" spans="1:12" x14ac:dyDescent="0.2">
      <c r="A355" s="2" t="s">
        <v>302</v>
      </c>
      <c r="B355" s="2" t="s">
        <v>101</v>
      </c>
      <c r="C355" s="2" t="s">
        <v>75</v>
      </c>
      <c r="D355" s="2" t="s">
        <v>303</v>
      </c>
      <c r="E355" s="2" t="s">
        <v>54</v>
      </c>
      <c r="F355" s="2" t="s">
        <v>26</v>
      </c>
      <c r="G355" s="2" t="s">
        <v>104</v>
      </c>
      <c r="H355" s="2" t="s">
        <v>19</v>
      </c>
      <c r="I355" s="2" t="s">
        <v>31</v>
      </c>
      <c r="J355" s="2" t="s">
        <v>304</v>
      </c>
      <c r="K355" s="2">
        <f>MIN(25,ROUNDUP(J355/12,0))</f>
        <v>25</v>
      </c>
      <c r="L355" s="2">
        <f>C355-K355</f>
        <v>-10</v>
      </c>
    </row>
    <row r="356" spans="1:12" x14ac:dyDescent="0.2">
      <c r="A356" s="2" t="s">
        <v>430</v>
      </c>
      <c r="B356" s="2" t="s">
        <v>44</v>
      </c>
      <c r="C356" s="2" t="s">
        <v>75</v>
      </c>
      <c r="D356" s="2" t="s">
        <v>431</v>
      </c>
      <c r="E356" s="2" t="s">
        <v>103</v>
      </c>
      <c r="F356" s="2" t="s">
        <v>82</v>
      </c>
      <c r="G356" s="2" t="s">
        <v>48</v>
      </c>
      <c r="H356" s="2" t="s">
        <v>19</v>
      </c>
      <c r="I356" s="2" t="s">
        <v>31</v>
      </c>
      <c r="J356" s="2" t="s">
        <v>432</v>
      </c>
      <c r="K356" s="2">
        <f>MIN(25,ROUNDUP(J356/12,0))</f>
        <v>25</v>
      </c>
      <c r="L356" s="2">
        <f>C356-K356</f>
        <v>-10</v>
      </c>
    </row>
    <row r="357" spans="1:12" x14ac:dyDescent="0.2">
      <c r="A357" s="2" t="s">
        <v>480</v>
      </c>
      <c r="B357" s="2" t="s">
        <v>13</v>
      </c>
      <c r="C357" s="2" t="s">
        <v>75</v>
      </c>
      <c r="D357" s="2" t="s">
        <v>481</v>
      </c>
      <c r="E357" s="2" t="s">
        <v>194</v>
      </c>
      <c r="F357" s="2" t="s">
        <v>310</v>
      </c>
      <c r="G357" s="2" t="s">
        <v>18</v>
      </c>
      <c r="H357" s="2" t="s">
        <v>19</v>
      </c>
      <c r="I357" s="2" t="s">
        <v>31</v>
      </c>
      <c r="J357" s="2" t="s">
        <v>482</v>
      </c>
      <c r="K357" s="2">
        <f>MIN(25,ROUNDUP(J357/12,0))</f>
        <v>25</v>
      </c>
      <c r="L357" s="2">
        <f>C357-K357</f>
        <v>-10</v>
      </c>
    </row>
    <row r="358" spans="1:12" x14ac:dyDescent="0.2">
      <c r="A358" s="2" t="s">
        <v>542</v>
      </c>
      <c r="B358" s="2" t="s">
        <v>13</v>
      </c>
      <c r="C358" s="2" t="s">
        <v>192</v>
      </c>
      <c r="D358" s="2" t="s">
        <v>543</v>
      </c>
      <c r="E358" s="2" t="s">
        <v>335</v>
      </c>
      <c r="F358" s="2" t="s">
        <v>47</v>
      </c>
      <c r="G358" s="2" t="s">
        <v>18</v>
      </c>
      <c r="H358" s="2" t="s">
        <v>19</v>
      </c>
      <c r="I358" s="2" t="s">
        <v>38</v>
      </c>
      <c r="J358" s="2" t="s">
        <v>544</v>
      </c>
      <c r="K358" s="2">
        <f>MIN(25,ROUNDUP(J358/12,0))</f>
        <v>12</v>
      </c>
      <c r="L358" s="2">
        <f>C358-K358</f>
        <v>-10</v>
      </c>
    </row>
    <row r="359" spans="1:12" x14ac:dyDescent="0.2">
      <c r="A359" s="2" t="s">
        <v>1056</v>
      </c>
      <c r="B359" s="2" t="s">
        <v>129</v>
      </c>
      <c r="C359" s="2" t="s">
        <v>221</v>
      </c>
      <c r="D359" s="2" t="s">
        <v>1057</v>
      </c>
      <c r="E359" s="2" t="s">
        <v>111</v>
      </c>
      <c r="F359" s="2" t="s">
        <v>17</v>
      </c>
      <c r="G359" s="2" t="s">
        <v>134</v>
      </c>
      <c r="H359" s="2" t="s">
        <v>19</v>
      </c>
      <c r="I359" s="2" t="s">
        <v>192</v>
      </c>
      <c r="J359" s="2" t="s">
        <v>1058</v>
      </c>
      <c r="K359" s="2">
        <f>MIN(25,ROUNDUP(J359/12,0))</f>
        <v>11</v>
      </c>
      <c r="L359" s="2">
        <f>C359-K359</f>
        <v>-10</v>
      </c>
    </row>
    <row r="360" spans="1:12" x14ac:dyDescent="0.2">
      <c r="A360" s="2" t="s">
        <v>1175</v>
      </c>
      <c r="B360" s="2" t="s">
        <v>95</v>
      </c>
      <c r="C360" s="2" t="s">
        <v>75</v>
      </c>
      <c r="D360" s="2" t="s">
        <v>1176</v>
      </c>
      <c r="E360" s="2" t="s">
        <v>168</v>
      </c>
      <c r="F360" s="2" t="s">
        <v>47</v>
      </c>
      <c r="G360" s="2" t="s">
        <v>98</v>
      </c>
      <c r="H360" s="2" t="s">
        <v>19</v>
      </c>
      <c r="I360" s="2" t="s">
        <v>31</v>
      </c>
      <c r="J360" s="2" t="s">
        <v>843</v>
      </c>
      <c r="K360" s="2">
        <f>MIN(25,ROUNDUP(J360/12,0))</f>
        <v>25</v>
      </c>
      <c r="L360" s="2">
        <f>C360-K360</f>
        <v>-10</v>
      </c>
    </row>
    <row r="361" spans="1:12" x14ac:dyDescent="0.2">
      <c r="A361" s="2" t="s">
        <v>257</v>
      </c>
      <c r="B361" s="2" t="s">
        <v>101</v>
      </c>
      <c r="C361" s="2" t="s">
        <v>119</v>
      </c>
      <c r="D361" s="2" t="s">
        <v>258</v>
      </c>
      <c r="E361" s="2" t="s">
        <v>155</v>
      </c>
      <c r="F361" s="2" t="s">
        <v>82</v>
      </c>
      <c r="G361" s="2" t="s">
        <v>104</v>
      </c>
      <c r="H361" s="2" t="s">
        <v>19</v>
      </c>
      <c r="I361" s="2" t="s">
        <v>122</v>
      </c>
      <c r="J361" s="2" t="s">
        <v>259</v>
      </c>
      <c r="K361" s="2">
        <f>MIN(25,ROUNDUP(J361/12,0))</f>
        <v>22</v>
      </c>
      <c r="L361" s="2">
        <f>C361-K361</f>
        <v>-11</v>
      </c>
    </row>
    <row r="362" spans="1:12" x14ac:dyDescent="0.2">
      <c r="A362" s="2" t="s">
        <v>293</v>
      </c>
      <c r="B362" s="2" t="s">
        <v>59</v>
      </c>
      <c r="C362" s="2" t="s">
        <v>130</v>
      </c>
      <c r="D362" s="2" t="s">
        <v>294</v>
      </c>
      <c r="E362" s="2" t="s">
        <v>111</v>
      </c>
      <c r="F362" s="2" t="s">
        <v>47</v>
      </c>
      <c r="G362" s="2" t="s">
        <v>63</v>
      </c>
      <c r="H362" s="2" t="s">
        <v>19</v>
      </c>
      <c r="I362" s="2" t="s">
        <v>125</v>
      </c>
      <c r="J362" s="2" t="s">
        <v>295</v>
      </c>
      <c r="K362" s="2">
        <f>MIN(25,ROUNDUP(J362/12,0))</f>
        <v>21</v>
      </c>
      <c r="L362" s="2">
        <f>C362-K362</f>
        <v>-11</v>
      </c>
    </row>
    <row r="363" spans="1:12" x14ac:dyDescent="0.2">
      <c r="A363" s="2" t="s">
        <v>591</v>
      </c>
      <c r="B363" s="2" t="s">
        <v>23</v>
      </c>
      <c r="C363" s="2" t="s">
        <v>192</v>
      </c>
      <c r="D363" s="2" t="s">
        <v>592</v>
      </c>
      <c r="E363" s="2" t="s">
        <v>40</v>
      </c>
      <c r="F363" s="2" t="s">
        <v>47</v>
      </c>
      <c r="G363" s="2" t="s">
        <v>27</v>
      </c>
      <c r="H363" s="2" t="s">
        <v>19</v>
      </c>
      <c r="I363" s="2" t="s">
        <v>38</v>
      </c>
      <c r="J363" s="2" t="s">
        <v>593</v>
      </c>
      <c r="K363" s="2">
        <f>MIN(25,ROUNDUP(J363/12,0))</f>
        <v>13</v>
      </c>
      <c r="L363" s="2">
        <f>C363-K363</f>
        <v>-11</v>
      </c>
    </row>
    <row r="364" spans="1:12" x14ac:dyDescent="0.2">
      <c r="A364" s="2" t="s">
        <v>648</v>
      </c>
      <c r="B364" s="2" t="s">
        <v>74</v>
      </c>
      <c r="C364" s="2" t="s">
        <v>49</v>
      </c>
      <c r="D364" s="2" t="s">
        <v>649</v>
      </c>
      <c r="E364" s="2" t="s">
        <v>121</v>
      </c>
      <c r="F364" s="2" t="s">
        <v>82</v>
      </c>
      <c r="G364" s="2" t="s">
        <v>77</v>
      </c>
      <c r="H364" s="2" t="s">
        <v>19</v>
      </c>
      <c r="I364" s="2" t="s">
        <v>130</v>
      </c>
      <c r="J364" s="2" t="s">
        <v>650</v>
      </c>
      <c r="K364" s="2">
        <f>MIN(25,ROUNDUP(J364/12,0))</f>
        <v>19</v>
      </c>
      <c r="L364" s="2">
        <f>C364-K364</f>
        <v>-11</v>
      </c>
    </row>
    <row r="365" spans="1:12" x14ac:dyDescent="0.2">
      <c r="A365" s="2" t="s">
        <v>715</v>
      </c>
      <c r="B365" s="2" t="s">
        <v>74</v>
      </c>
      <c r="C365" s="2" t="s">
        <v>161</v>
      </c>
      <c r="D365" s="2" t="s">
        <v>716</v>
      </c>
      <c r="E365" s="2" t="s">
        <v>87</v>
      </c>
      <c r="F365" s="2" t="s">
        <v>26</v>
      </c>
      <c r="G365" s="2" t="s">
        <v>77</v>
      </c>
      <c r="H365" s="2" t="s">
        <v>19</v>
      </c>
      <c r="I365" s="2" t="s">
        <v>187</v>
      </c>
      <c r="J365" s="2" t="s">
        <v>633</v>
      </c>
      <c r="K365" s="2">
        <f>MIN(25,ROUNDUP(J365/12,0))</f>
        <v>16</v>
      </c>
      <c r="L365" s="2">
        <f>C365-K365</f>
        <v>-11</v>
      </c>
    </row>
    <row r="366" spans="1:12" x14ac:dyDescent="0.2">
      <c r="A366" s="2" t="s">
        <v>732</v>
      </c>
      <c r="B366" s="2" t="s">
        <v>95</v>
      </c>
      <c r="C366" s="2" t="s">
        <v>68</v>
      </c>
      <c r="D366" s="2" t="s">
        <v>733</v>
      </c>
      <c r="E366" s="2" t="s">
        <v>151</v>
      </c>
      <c r="F366" s="2" t="s">
        <v>47</v>
      </c>
      <c r="G366" s="2" t="s">
        <v>98</v>
      </c>
      <c r="H366" s="2" t="s">
        <v>19</v>
      </c>
      <c r="I366" s="2" t="s">
        <v>60</v>
      </c>
      <c r="J366" s="2" t="s">
        <v>734</v>
      </c>
      <c r="K366" s="2">
        <f>MIN(25,ROUNDUP(J366/12,0))</f>
        <v>25</v>
      </c>
      <c r="L366" s="2">
        <f>C366-K366</f>
        <v>-11</v>
      </c>
    </row>
    <row r="367" spans="1:12" x14ac:dyDescent="0.2">
      <c r="A367" s="2" t="s">
        <v>1003</v>
      </c>
      <c r="B367" s="2" t="s">
        <v>129</v>
      </c>
      <c r="C367" s="2" t="s">
        <v>119</v>
      </c>
      <c r="D367" s="2" t="s">
        <v>1004</v>
      </c>
      <c r="E367" s="2" t="s">
        <v>201</v>
      </c>
      <c r="F367" s="2" t="s">
        <v>47</v>
      </c>
      <c r="G367" s="2" t="s">
        <v>134</v>
      </c>
      <c r="H367" s="2" t="s">
        <v>19</v>
      </c>
      <c r="I367" s="2" t="s">
        <v>122</v>
      </c>
      <c r="J367" s="2" t="s">
        <v>259</v>
      </c>
      <c r="K367" s="2">
        <f>MIN(25,ROUNDUP(J367/12,0))</f>
        <v>22</v>
      </c>
      <c r="L367" s="2">
        <f>C367-K367</f>
        <v>-11</v>
      </c>
    </row>
    <row r="368" spans="1:12" x14ac:dyDescent="0.2">
      <c r="A368" s="2" t="s">
        <v>272</v>
      </c>
      <c r="B368" s="2" t="s">
        <v>23</v>
      </c>
      <c r="C368" s="2" t="s">
        <v>122</v>
      </c>
      <c r="D368" s="2" t="s">
        <v>273</v>
      </c>
      <c r="E368" s="2" t="s">
        <v>274</v>
      </c>
      <c r="F368" s="2" t="s">
        <v>160</v>
      </c>
      <c r="G368" s="2" t="s">
        <v>27</v>
      </c>
      <c r="H368" s="2" t="s">
        <v>19</v>
      </c>
      <c r="I368" s="2" t="s">
        <v>75</v>
      </c>
      <c r="J368" s="2" t="s">
        <v>275</v>
      </c>
      <c r="K368" s="2">
        <f>MIN(25,ROUNDUP(J368/12,0))</f>
        <v>25</v>
      </c>
      <c r="L368" s="2">
        <f>C368-K368</f>
        <v>-12</v>
      </c>
    </row>
    <row r="369" spans="1:12" x14ac:dyDescent="0.2">
      <c r="A369" s="2" t="s">
        <v>347</v>
      </c>
      <c r="B369" s="2" t="s">
        <v>114</v>
      </c>
      <c r="C369" s="2" t="s">
        <v>161</v>
      </c>
      <c r="D369" s="2" t="s">
        <v>348</v>
      </c>
      <c r="E369" s="2" t="s">
        <v>87</v>
      </c>
      <c r="F369" s="2" t="s">
        <v>47</v>
      </c>
      <c r="G369" s="2" t="s">
        <v>116</v>
      </c>
      <c r="H369" s="2" t="s">
        <v>19</v>
      </c>
      <c r="I369" s="2" t="s">
        <v>187</v>
      </c>
      <c r="J369" s="2" t="s">
        <v>349</v>
      </c>
      <c r="K369" s="2">
        <f>MIN(25,ROUNDUP(J369/12,0))</f>
        <v>17</v>
      </c>
      <c r="L369" s="2">
        <f>C369-K369</f>
        <v>-12</v>
      </c>
    </row>
    <row r="370" spans="1:12" x14ac:dyDescent="0.2">
      <c r="A370" s="2" t="s">
        <v>651</v>
      </c>
      <c r="B370" s="2" t="s">
        <v>13</v>
      </c>
      <c r="C370" s="2" t="s">
        <v>122</v>
      </c>
      <c r="D370" s="2" t="s">
        <v>652</v>
      </c>
      <c r="E370" s="2" t="s">
        <v>54</v>
      </c>
      <c r="F370" s="2" t="s">
        <v>26</v>
      </c>
      <c r="G370" s="2" t="s">
        <v>18</v>
      </c>
      <c r="H370" s="2" t="s">
        <v>19</v>
      </c>
      <c r="I370" s="2" t="s">
        <v>75</v>
      </c>
      <c r="J370" s="2" t="s">
        <v>653</v>
      </c>
      <c r="K370" s="2">
        <f>MIN(25,ROUNDUP(J370/12,0))</f>
        <v>25</v>
      </c>
      <c r="L370" s="2">
        <f>C370-K370</f>
        <v>-12</v>
      </c>
    </row>
    <row r="371" spans="1:12" x14ac:dyDescent="0.2">
      <c r="A371" s="2" t="s">
        <v>667</v>
      </c>
      <c r="B371" s="2" t="s">
        <v>59</v>
      </c>
      <c r="C371" s="2" t="s">
        <v>161</v>
      </c>
      <c r="D371" s="2" t="s">
        <v>668</v>
      </c>
      <c r="E371" s="2" t="s">
        <v>121</v>
      </c>
      <c r="F371" s="2" t="s">
        <v>444</v>
      </c>
      <c r="G371" s="2" t="s">
        <v>63</v>
      </c>
      <c r="H371" s="2" t="s">
        <v>19</v>
      </c>
      <c r="I371" s="2" t="s">
        <v>187</v>
      </c>
      <c r="J371" s="2" t="s">
        <v>669</v>
      </c>
      <c r="K371" s="2">
        <f>MIN(25,ROUNDUP(J371/12,0))</f>
        <v>17</v>
      </c>
      <c r="L371" s="2">
        <f>C371-K371</f>
        <v>-12</v>
      </c>
    </row>
    <row r="372" spans="1:12" x14ac:dyDescent="0.2">
      <c r="A372" s="2" t="s">
        <v>712</v>
      </c>
      <c r="B372" s="2" t="s">
        <v>114</v>
      </c>
      <c r="C372" s="2" t="s">
        <v>122</v>
      </c>
      <c r="D372" s="2" t="s">
        <v>713</v>
      </c>
      <c r="E372" s="2" t="s">
        <v>274</v>
      </c>
      <c r="F372" s="2" t="s">
        <v>223</v>
      </c>
      <c r="G372" s="2" t="s">
        <v>116</v>
      </c>
      <c r="H372" s="2" t="s">
        <v>19</v>
      </c>
      <c r="I372" s="2" t="s">
        <v>75</v>
      </c>
      <c r="J372" s="2" t="s">
        <v>714</v>
      </c>
      <c r="K372" s="2">
        <f>MIN(25,ROUNDUP(J372/12,0))</f>
        <v>25</v>
      </c>
      <c r="L372" s="2">
        <f>C372-K372</f>
        <v>-12</v>
      </c>
    </row>
    <row r="373" spans="1:12" x14ac:dyDescent="0.2">
      <c r="A373" s="2" t="s">
        <v>880</v>
      </c>
      <c r="B373" s="2" t="s">
        <v>74</v>
      </c>
      <c r="C373" s="2" t="s">
        <v>122</v>
      </c>
      <c r="D373" s="2" t="s">
        <v>881</v>
      </c>
      <c r="E373" s="2" t="s">
        <v>103</v>
      </c>
      <c r="F373" s="2" t="s">
        <v>82</v>
      </c>
      <c r="G373" s="2" t="s">
        <v>77</v>
      </c>
      <c r="H373" s="2" t="s">
        <v>19</v>
      </c>
      <c r="I373" s="2" t="s">
        <v>75</v>
      </c>
      <c r="J373" s="2" t="s">
        <v>734</v>
      </c>
      <c r="K373" s="2">
        <f>MIN(25,ROUNDUP(J373/12,0))</f>
        <v>25</v>
      </c>
      <c r="L373" s="2">
        <f>C373-K373</f>
        <v>-12</v>
      </c>
    </row>
    <row r="374" spans="1:12" x14ac:dyDescent="0.2">
      <c r="A374" s="2" t="s">
        <v>337</v>
      </c>
      <c r="B374" s="2" t="s">
        <v>23</v>
      </c>
      <c r="C374" s="2" t="s">
        <v>130</v>
      </c>
      <c r="D374" s="2" t="s">
        <v>338</v>
      </c>
      <c r="E374" s="2" t="s">
        <v>33</v>
      </c>
      <c r="F374" s="2" t="s">
        <v>82</v>
      </c>
      <c r="G374" s="2" t="s">
        <v>27</v>
      </c>
      <c r="H374" s="2" t="s">
        <v>19</v>
      </c>
      <c r="I374" s="2" t="s">
        <v>125</v>
      </c>
      <c r="J374" s="2" t="s">
        <v>339</v>
      </c>
      <c r="K374" s="2">
        <f>MIN(25,ROUNDUP(J374/12,0))</f>
        <v>23</v>
      </c>
      <c r="L374" s="2">
        <f>C374-K374</f>
        <v>-13</v>
      </c>
    </row>
    <row r="375" spans="1:12" x14ac:dyDescent="0.2">
      <c r="A375" s="2" t="s">
        <v>735</v>
      </c>
      <c r="B375" s="2" t="s">
        <v>67</v>
      </c>
      <c r="C375" s="2" t="s">
        <v>41</v>
      </c>
      <c r="D375" s="2" t="s">
        <v>736</v>
      </c>
      <c r="E375" s="2" t="s">
        <v>97</v>
      </c>
      <c r="F375" s="2" t="s">
        <v>47</v>
      </c>
      <c r="G375" s="2" t="s">
        <v>71</v>
      </c>
      <c r="H375" s="2" t="s">
        <v>19</v>
      </c>
      <c r="I375" s="2" t="s">
        <v>49</v>
      </c>
      <c r="J375" s="2" t="s">
        <v>737</v>
      </c>
      <c r="K375" s="2">
        <f>MIN(25,ROUNDUP(J375/12,0))</f>
        <v>19</v>
      </c>
      <c r="L375" s="2">
        <f>C375-K375</f>
        <v>-13</v>
      </c>
    </row>
    <row r="376" spans="1:12" x14ac:dyDescent="0.2">
      <c r="A376" s="2" t="s">
        <v>748</v>
      </c>
      <c r="B376" s="2" t="s">
        <v>80</v>
      </c>
      <c r="C376" s="2" t="s">
        <v>125</v>
      </c>
      <c r="D376" s="2" t="s">
        <v>749</v>
      </c>
      <c r="E376" s="2" t="s">
        <v>91</v>
      </c>
      <c r="F376" s="2" t="s">
        <v>223</v>
      </c>
      <c r="G376" s="2" t="s">
        <v>83</v>
      </c>
      <c r="H376" s="2" t="s">
        <v>19</v>
      </c>
      <c r="I376" s="2" t="s">
        <v>68</v>
      </c>
      <c r="J376" s="2" t="s">
        <v>750</v>
      </c>
      <c r="K376" s="2">
        <f>MIN(25,ROUNDUP(J376/12,0))</f>
        <v>25</v>
      </c>
      <c r="L376" s="2">
        <f>C376-K376</f>
        <v>-13</v>
      </c>
    </row>
    <row r="377" spans="1:12" x14ac:dyDescent="0.2">
      <c r="A377" s="2" t="s">
        <v>299</v>
      </c>
      <c r="B377" s="2" t="s">
        <v>44</v>
      </c>
      <c r="C377" s="2" t="s">
        <v>49</v>
      </c>
      <c r="D377" s="2" t="s">
        <v>300</v>
      </c>
      <c r="E377" s="2" t="s">
        <v>91</v>
      </c>
      <c r="F377" s="2" t="s">
        <v>82</v>
      </c>
      <c r="G377" s="2" t="s">
        <v>48</v>
      </c>
      <c r="H377" s="2" t="s">
        <v>19</v>
      </c>
      <c r="I377" s="2" t="s">
        <v>130</v>
      </c>
      <c r="J377" s="2" t="s">
        <v>301</v>
      </c>
      <c r="K377" s="2">
        <f>MIN(25,ROUNDUP(J377/12,0))</f>
        <v>22</v>
      </c>
      <c r="L377" s="2">
        <f>C377-K377</f>
        <v>-14</v>
      </c>
    </row>
    <row r="378" spans="1:12" x14ac:dyDescent="0.2">
      <c r="A378" s="2" t="s">
        <v>563</v>
      </c>
      <c r="B378" s="2" t="s">
        <v>95</v>
      </c>
      <c r="C378" s="2" t="s">
        <v>221</v>
      </c>
      <c r="D378" s="2" t="s">
        <v>564</v>
      </c>
      <c r="E378" s="2" t="s">
        <v>172</v>
      </c>
      <c r="F378" s="2" t="s">
        <v>133</v>
      </c>
      <c r="G378" s="2" t="s">
        <v>98</v>
      </c>
      <c r="H378" s="2" t="s">
        <v>19</v>
      </c>
      <c r="I378" s="2" t="s">
        <v>158</v>
      </c>
      <c r="J378" s="2" t="s">
        <v>565</v>
      </c>
      <c r="K378" s="2">
        <f>MIN(25,ROUNDUP(J378/12,0))</f>
        <v>15</v>
      </c>
      <c r="L378" s="2">
        <f>C378-K378</f>
        <v>-14</v>
      </c>
    </row>
    <row r="379" spans="1:12" x14ac:dyDescent="0.2">
      <c r="A379" s="2" t="s">
        <v>624</v>
      </c>
      <c r="B379" s="2" t="s">
        <v>59</v>
      </c>
      <c r="C379" s="2" t="s">
        <v>158</v>
      </c>
      <c r="D379" s="2" t="s">
        <v>625</v>
      </c>
      <c r="E379" s="2" t="s">
        <v>33</v>
      </c>
      <c r="F379" s="2" t="s">
        <v>147</v>
      </c>
      <c r="G379" s="2" t="s">
        <v>63</v>
      </c>
      <c r="H379" s="2" t="s">
        <v>19</v>
      </c>
      <c r="I379" s="2" t="s">
        <v>161</v>
      </c>
      <c r="J379" s="2" t="s">
        <v>620</v>
      </c>
      <c r="K379" s="2">
        <f>MIN(25,ROUNDUP(J379/12,0))</f>
        <v>17</v>
      </c>
      <c r="L379" s="2">
        <f>C379-K379</f>
        <v>-14</v>
      </c>
    </row>
    <row r="380" spans="1:12" x14ac:dyDescent="0.2">
      <c r="A380" s="2" t="s">
        <v>663</v>
      </c>
      <c r="B380" s="2" t="s">
        <v>101</v>
      </c>
      <c r="C380" s="2" t="s">
        <v>192</v>
      </c>
      <c r="D380" s="2" t="s">
        <v>664</v>
      </c>
      <c r="E380" s="2" t="s">
        <v>155</v>
      </c>
      <c r="F380" s="2" t="s">
        <v>47</v>
      </c>
      <c r="G380" s="2" t="s">
        <v>104</v>
      </c>
      <c r="H380" s="2" t="s">
        <v>19</v>
      </c>
      <c r="I380" s="2" t="s">
        <v>38</v>
      </c>
      <c r="J380" s="2" t="s">
        <v>349</v>
      </c>
      <c r="K380" s="2">
        <f>MIN(25,ROUNDUP(J380/12,0))</f>
        <v>17</v>
      </c>
      <c r="L380" s="2">
        <f>C380-K380</f>
        <v>-15</v>
      </c>
    </row>
    <row r="381" spans="1:12" x14ac:dyDescent="0.2">
      <c r="A381" s="2" t="s">
        <v>741</v>
      </c>
      <c r="B381" s="2" t="s">
        <v>13</v>
      </c>
      <c r="C381" s="2" t="s">
        <v>41</v>
      </c>
      <c r="D381" s="2" t="s">
        <v>742</v>
      </c>
      <c r="E381" s="2" t="s">
        <v>121</v>
      </c>
      <c r="F381" s="2" t="s">
        <v>133</v>
      </c>
      <c r="G381" s="2" t="s">
        <v>18</v>
      </c>
      <c r="H381" s="2" t="s">
        <v>19</v>
      </c>
      <c r="I381" s="2" t="s">
        <v>49</v>
      </c>
      <c r="J381" s="2" t="s">
        <v>743</v>
      </c>
      <c r="K381" s="2">
        <f>MIN(25,ROUNDUP(J381/12,0))</f>
        <v>21</v>
      </c>
      <c r="L381" s="2">
        <f>C381-K381</f>
        <v>-15</v>
      </c>
    </row>
    <row r="382" spans="1:12" x14ac:dyDescent="0.2">
      <c r="A382" s="2" t="s">
        <v>308</v>
      </c>
      <c r="B382" s="2" t="s">
        <v>114</v>
      </c>
      <c r="C382" s="2" t="s">
        <v>189</v>
      </c>
      <c r="D382" s="2" t="s">
        <v>309</v>
      </c>
      <c r="E382" s="2" t="s">
        <v>40</v>
      </c>
      <c r="F382" s="2" t="s">
        <v>310</v>
      </c>
      <c r="G382" s="2" t="s">
        <v>116</v>
      </c>
      <c r="H382" s="2" t="s">
        <v>19</v>
      </c>
      <c r="I382" s="2" t="s">
        <v>119</v>
      </c>
      <c r="J382" s="2" t="s">
        <v>311</v>
      </c>
      <c r="K382" s="2">
        <f>MIN(25,ROUNDUP(J382/12,0))</f>
        <v>25</v>
      </c>
      <c r="L382" s="2">
        <f>C382-K382</f>
        <v>-16</v>
      </c>
    </row>
    <row r="383" spans="1:12" x14ac:dyDescent="0.2">
      <c r="A383" s="2" t="s">
        <v>637</v>
      </c>
      <c r="B383" s="2" t="s">
        <v>30</v>
      </c>
      <c r="C383" s="2" t="s">
        <v>49</v>
      </c>
      <c r="D383" s="2" t="s">
        <v>638</v>
      </c>
      <c r="E383" s="2" t="s">
        <v>236</v>
      </c>
      <c r="F383" s="2" t="s">
        <v>82</v>
      </c>
      <c r="G383" s="2" t="s">
        <v>34</v>
      </c>
      <c r="H383" s="2" t="s">
        <v>19</v>
      </c>
      <c r="I383" s="2" t="s">
        <v>130</v>
      </c>
      <c r="J383" s="2" t="s">
        <v>639</v>
      </c>
      <c r="K383" s="2">
        <f>MIN(25,ROUNDUP(J383/12,0))</f>
        <v>25</v>
      </c>
      <c r="L383" s="2">
        <f>C383-K383</f>
        <v>-17</v>
      </c>
    </row>
    <row r="384" spans="1:12" x14ac:dyDescent="0.2">
      <c r="A384" s="2" t="s">
        <v>142</v>
      </c>
      <c r="B384" s="2" t="s">
        <v>101</v>
      </c>
      <c r="C384" s="2" t="s">
        <v>38</v>
      </c>
      <c r="D384" s="2" t="s">
        <v>143</v>
      </c>
      <c r="E384" s="2" t="s">
        <v>91</v>
      </c>
      <c r="F384" s="2" t="s">
        <v>47</v>
      </c>
      <c r="G384" s="2" t="s">
        <v>104</v>
      </c>
      <c r="H384" s="2" t="s">
        <v>19</v>
      </c>
      <c r="I384" s="2" t="s">
        <v>41</v>
      </c>
      <c r="J384" s="2" t="s">
        <v>144</v>
      </c>
      <c r="K384" s="2">
        <f>MIN(25,ROUNDUP(J384/12,0))</f>
        <v>25</v>
      </c>
      <c r="L384" s="2">
        <f>C384-K384</f>
        <v>-21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Fantasy Baseball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 Colonna</cp:lastModifiedBy>
  <dcterms:created xsi:type="dcterms:W3CDTF">2026-09-18T16:42:01Z</dcterms:created>
  <dcterms:modified xsi:type="dcterms:W3CDTF">2026-09-19T05:21:04Z</dcterms:modified>
</cp:coreProperties>
</file>